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1.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F:\tes kerja\PT. Air Untuk Negeri\"/>
    </mc:Choice>
  </mc:AlternateContent>
  <xr:revisionPtr revIDLastSave="0" documentId="13_ncr:1_{A78C4FB3-8180-4FBD-B8B0-6076F5C59989}" xr6:coauthVersionLast="47" xr6:coauthVersionMax="47" xr10:uidLastSave="{00000000-0000-0000-0000-000000000000}"/>
  <bookViews>
    <workbookView xWindow="-108" yWindow="-108" windowWidth="23256" windowHeight="12456" tabRatio="739" activeTab="6" xr2:uid="{00000000-000D-0000-FFFF-FFFF00000000}"/>
  </bookViews>
  <sheets>
    <sheet name="Data" sheetId="1" r:id="rId1"/>
    <sheet name="Buat Pivot" sheetId="16" r:id="rId2"/>
    <sheet name=" Kelompok Total Nominal" sheetId="20" r:id="rId3"/>
    <sheet name="Kelompok Total Frekuensi" sheetId="21" r:id="rId4"/>
    <sheet name="10 Besar Donatur" sheetId="23" r:id="rId5"/>
    <sheet name="Dashboard" sheetId="22" r:id="rId6"/>
    <sheet name="Note" sheetId="2" r:id="rId7"/>
  </sheets>
  <definedNames>
    <definedName name="NativeTimeline_Tanggal_Akhir">#N/A</definedName>
    <definedName name="NativeTimeline_Tanggal_Awal">#N/A</definedName>
    <definedName name="Pemotong_Kelompok1">#N/A</definedName>
    <definedName name="Pemotong_Status">#N/A</definedName>
  </definedNames>
  <calcPr calcId="191029"/>
  <pivotCaches>
    <pivotCache cacheId="0" r:id="rId8"/>
    <pivotCache cacheId="5"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 r:id="rId13"/>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0" i="16" l="1" a="1"/>
  <c r="I100" i="16" s="1"/>
  <c r="I6" i="16" a="1"/>
  <c r="I6" i="16" s="1"/>
  <c r="I7" i="16" a="1"/>
  <c r="I7" i="16" s="1"/>
  <c r="I8" i="16" a="1"/>
  <c r="I8" i="16" s="1"/>
  <c r="I10" i="16" a="1"/>
  <c r="I10" i="16" s="1"/>
  <c r="I11" i="16" a="1"/>
  <c r="I11" i="16" s="1"/>
  <c r="I12" i="16" a="1"/>
  <c r="I12" i="16" s="1"/>
  <c r="I13" i="16" a="1"/>
  <c r="I13" i="16" s="1"/>
  <c r="I20" i="16" a="1"/>
  <c r="I20" i="16" s="1"/>
  <c r="I22" i="16" a="1"/>
  <c r="I22" i="16" s="1"/>
  <c r="I23" i="16" a="1"/>
  <c r="I23" i="16" s="1"/>
  <c r="I24" i="16" a="1"/>
  <c r="I24" i="16" s="1"/>
  <c r="I25" i="16" a="1"/>
  <c r="I25" i="16" s="1"/>
  <c r="I33" i="16" a="1"/>
  <c r="I33" i="16" s="1"/>
  <c r="I34" i="16" a="1"/>
  <c r="I34" i="16" s="1"/>
  <c r="I37" i="16" a="1"/>
  <c r="I37" i="16" s="1"/>
  <c r="I42" i="16" a="1"/>
  <c r="I42" i="16" s="1"/>
  <c r="I43" i="16" a="1"/>
  <c r="I43" i="16" s="1"/>
  <c r="I45" i="16" a="1"/>
  <c r="I45" i="16" s="1"/>
  <c r="I46" i="16" a="1"/>
  <c r="I46" i="16" s="1"/>
  <c r="I47" i="16" a="1"/>
  <c r="I47" i="16" s="1"/>
  <c r="I49" i="16" a="1"/>
  <c r="I49" i="16" s="1"/>
  <c r="I56" i="16" a="1"/>
  <c r="I56" i="16" s="1"/>
  <c r="I58" i="16" a="1"/>
  <c r="I58" i="16" s="1"/>
  <c r="I59" i="16" a="1"/>
  <c r="I59" i="16" s="1"/>
  <c r="I60" i="16" a="1"/>
  <c r="I60" i="16" s="1"/>
  <c r="I61" i="16" a="1"/>
  <c r="I61" i="16" s="1"/>
  <c r="I67" i="16" a="1"/>
  <c r="I67" i="16" s="1"/>
  <c r="I70" i="16" a="1"/>
  <c r="I70" i="16" s="1"/>
  <c r="I71" i="16" a="1"/>
  <c r="I71" i="16" s="1"/>
  <c r="I72" i="16" a="1"/>
  <c r="I72" i="16" s="1"/>
  <c r="I73" i="16" a="1"/>
  <c r="I73" i="16" s="1"/>
  <c r="I80" i="16" a="1"/>
  <c r="I80" i="16" s="1"/>
  <c r="I81" i="16" a="1"/>
  <c r="I81" i="16" s="1"/>
  <c r="I83" i="16" a="1"/>
  <c r="I83" i="16" s="1"/>
  <c r="I85" i="16" a="1"/>
  <c r="I85" i="16" s="1"/>
  <c r="I92" i="16" a="1"/>
  <c r="I92" i="16" s="1"/>
  <c r="I94" i="16" a="1"/>
  <c r="I94" i="16" s="1"/>
  <c r="I95" i="16" a="1"/>
  <c r="I95" i="16" s="1"/>
  <c r="I97" i="16" a="1"/>
  <c r="I97" i="16" s="1"/>
  <c r="I35" i="16" a="1"/>
  <c r="I35" i="16" s="1"/>
  <c r="I36" i="16" a="1"/>
  <c r="I36" i="16" s="1"/>
  <c r="I82" i="16" a="1"/>
  <c r="I82" i="16" s="1"/>
  <c r="D115" i="16"/>
  <c r="I38" i="16" a="1"/>
  <c r="I38" i="16" s="1"/>
  <c r="G38" i="16" a="1"/>
  <c r="G38" i="16" s="1"/>
  <c r="F38" i="16"/>
  <c r="E38" i="16"/>
  <c r="I69" i="16" a="1"/>
  <c r="I69" i="16" s="1"/>
  <c r="G69" i="16" a="1"/>
  <c r="G69" i="16" s="1"/>
  <c r="F69" i="16"/>
  <c r="E69" i="16"/>
  <c r="G67" i="16" a="1"/>
  <c r="G67" i="16" s="1"/>
  <c r="F67" i="16"/>
  <c r="E67" i="16"/>
  <c r="I19" i="16" a="1"/>
  <c r="I19" i="16" s="1"/>
  <c r="G19" i="16" a="1"/>
  <c r="G19" i="16" s="1"/>
  <c r="F19" i="16"/>
  <c r="E19" i="16"/>
  <c r="G47" i="16" a="1"/>
  <c r="G47" i="16" s="1"/>
  <c r="F47" i="16"/>
  <c r="E47" i="16"/>
  <c r="G45" i="16" a="1"/>
  <c r="G45" i="16" s="1"/>
  <c r="F45" i="16"/>
  <c r="E45" i="16"/>
  <c r="G8" i="16" a="1"/>
  <c r="G8" i="16" s="1"/>
  <c r="F8" i="16"/>
  <c r="E8" i="16"/>
  <c r="I40" i="16" a="1"/>
  <c r="I40" i="16" s="1"/>
  <c r="G40" i="16" a="1"/>
  <c r="G40" i="16" s="1"/>
  <c r="F40" i="16"/>
  <c r="E40" i="16"/>
  <c r="G95" i="16" a="1"/>
  <c r="G95" i="16" s="1"/>
  <c r="F95" i="16"/>
  <c r="E95" i="16"/>
  <c r="G71" i="16" a="1"/>
  <c r="G71" i="16" s="1"/>
  <c r="F71" i="16"/>
  <c r="E71" i="16"/>
  <c r="G92" i="16" a="1"/>
  <c r="G92" i="16" s="1"/>
  <c r="F92" i="16"/>
  <c r="E92" i="16"/>
  <c r="G11" i="16" a="1"/>
  <c r="G11" i="16" s="1"/>
  <c r="F11" i="16"/>
  <c r="E11" i="16"/>
  <c r="G7" i="16" a="1"/>
  <c r="G7" i="16" s="1"/>
  <c r="F7" i="16"/>
  <c r="E7" i="16"/>
  <c r="G61" i="16" a="1"/>
  <c r="G61" i="16" s="1"/>
  <c r="F61" i="16"/>
  <c r="E61" i="16"/>
  <c r="G25" i="16" a="1"/>
  <c r="G25" i="16" s="1"/>
  <c r="F25" i="16"/>
  <c r="E25" i="16"/>
  <c r="I21" i="16" a="1"/>
  <c r="I21" i="16" s="1"/>
  <c r="G21" i="16" a="1"/>
  <c r="G21" i="16" s="1"/>
  <c r="F21" i="16"/>
  <c r="E21" i="16"/>
  <c r="G33" i="16" a="1"/>
  <c r="G33" i="16" s="1"/>
  <c r="F33" i="16"/>
  <c r="E33" i="16"/>
  <c r="G37" i="16" a="1"/>
  <c r="G37" i="16" s="1"/>
  <c r="F37" i="16"/>
  <c r="E37" i="16"/>
  <c r="I32" i="16" a="1"/>
  <c r="I32" i="16" s="1"/>
  <c r="G32" i="16" a="1"/>
  <c r="G32" i="16" s="1"/>
  <c r="F32" i="16"/>
  <c r="E32" i="16"/>
  <c r="I98" i="16" a="1"/>
  <c r="I98" i="16" s="1"/>
  <c r="G98" i="16" a="1"/>
  <c r="G98" i="16" s="1"/>
  <c r="F98" i="16"/>
  <c r="E98" i="16"/>
  <c r="G83" i="16" a="1"/>
  <c r="G83" i="16" s="1"/>
  <c r="F83" i="16"/>
  <c r="E83" i="16"/>
  <c r="G73" i="16" a="1"/>
  <c r="G73" i="16" s="1"/>
  <c r="F73" i="16"/>
  <c r="E73" i="16"/>
  <c r="I68" i="16" a="1"/>
  <c r="I68" i="16" s="1"/>
  <c r="G68" i="16" a="1"/>
  <c r="G68" i="16" s="1"/>
  <c r="F68" i="16"/>
  <c r="E68" i="16"/>
  <c r="G35" i="16" a="1"/>
  <c r="G35" i="16" s="1"/>
  <c r="F35" i="16"/>
  <c r="E35" i="16"/>
  <c r="I52" i="16" a="1"/>
  <c r="I52" i="16" s="1"/>
  <c r="G52" i="16" a="1"/>
  <c r="G52" i="16" s="1"/>
  <c r="F52" i="16"/>
  <c r="E52" i="16"/>
  <c r="I96" i="16" a="1"/>
  <c r="I96" i="16" s="1"/>
  <c r="G96" i="16" a="1"/>
  <c r="G96" i="16" s="1"/>
  <c r="F96" i="16"/>
  <c r="E96" i="16"/>
  <c r="I76" i="16" a="1"/>
  <c r="I76" i="16" s="1"/>
  <c r="G76" i="16" a="1"/>
  <c r="G76" i="16" s="1"/>
  <c r="F76" i="16"/>
  <c r="E76" i="16"/>
  <c r="I64" i="16" a="1"/>
  <c r="I64" i="16" s="1"/>
  <c r="G64" i="16" a="1"/>
  <c r="G64" i="16" s="1"/>
  <c r="F64" i="16"/>
  <c r="E64" i="16"/>
  <c r="I84" i="16" a="1"/>
  <c r="I84" i="16" s="1"/>
  <c r="G84" i="16" a="1"/>
  <c r="G84" i="16" s="1"/>
  <c r="F84" i="16"/>
  <c r="E84" i="16"/>
  <c r="G97" i="16" a="1"/>
  <c r="G97" i="16" s="1"/>
  <c r="F97" i="16"/>
  <c r="E97" i="16"/>
  <c r="I66" i="16" a="1"/>
  <c r="I66" i="16" s="1"/>
  <c r="G66" i="16" a="1"/>
  <c r="G66" i="16" s="1"/>
  <c r="F66" i="16"/>
  <c r="E66" i="16"/>
  <c r="I41" i="16" a="1"/>
  <c r="I41" i="16" s="1"/>
  <c r="G41" i="16" a="1"/>
  <c r="G41" i="16" s="1"/>
  <c r="F41" i="16"/>
  <c r="E41" i="16"/>
  <c r="I51" i="16" a="1"/>
  <c r="I51" i="16" s="1"/>
  <c r="G51" i="16" a="1"/>
  <c r="G51" i="16" s="1"/>
  <c r="F51" i="16"/>
  <c r="E51" i="16"/>
  <c r="I15" i="16" a="1"/>
  <c r="I15" i="16" s="1"/>
  <c r="G15" i="16" a="1"/>
  <c r="G15" i="16" s="1"/>
  <c r="F15" i="16"/>
  <c r="E15" i="16"/>
  <c r="I78" i="16" a="1"/>
  <c r="I78" i="16" s="1"/>
  <c r="G78" i="16" a="1"/>
  <c r="G78" i="16" s="1"/>
  <c r="F78" i="16"/>
  <c r="E78" i="16"/>
  <c r="G22" i="16" a="1"/>
  <c r="G22" i="16" s="1"/>
  <c r="F22" i="16"/>
  <c r="E22" i="16"/>
  <c r="I2" i="16" a="1"/>
  <c r="I2" i="16" s="1"/>
  <c r="G2" i="16" a="1"/>
  <c r="G2" i="16" s="1"/>
  <c r="F2" i="16"/>
  <c r="E2" i="16"/>
  <c r="I28" i="16" a="1"/>
  <c r="I28" i="16" s="1"/>
  <c r="G28" i="16" a="1"/>
  <c r="G28" i="16" s="1"/>
  <c r="F28" i="16"/>
  <c r="E28" i="16"/>
  <c r="I75" i="16" a="1"/>
  <c r="I75" i="16" s="1"/>
  <c r="G75" i="16" a="1"/>
  <c r="G75" i="16" s="1"/>
  <c r="F75" i="16"/>
  <c r="E75" i="16"/>
  <c r="I63" i="16" a="1"/>
  <c r="I63" i="16" s="1"/>
  <c r="G63" i="16" a="1"/>
  <c r="G63" i="16" s="1"/>
  <c r="F63" i="16"/>
  <c r="E63" i="16"/>
  <c r="I55" i="16" a="1"/>
  <c r="I55" i="16" s="1"/>
  <c r="G55" i="16" a="1"/>
  <c r="G55" i="16" s="1"/>
  <c r="F55" i="16"/>
  <c r="E55" i="16"/>
  <c r="G24" i="16" a="1"/>
  <c r="G24" i="16" s="1"/>
  <c r="F24" i="16"/>
  <c r="E24" i="16"/>
  <c r="I17" i="16" a="1"/>
  <c r="I17" i="16" s="1"/>
  <c r="G17" i="16" a="1"/>
  <c r="G17" i="16" s="1"/>
  <c r="F17" i="16"/>
  <c r="E17" i="16"/>
  <c r="G49" i="16" a="1"/>
  <c r="G49" i="16" s="1"/>
  <c r="F49" i="16"/>
  <c r="E49" i="16"/>
  <c r="G81" i="16" a="1"/>
  <c r="G81" i="16" s="1"/>
  <c r="F81" i="16"/>
  <c r="E81" i="16"/>
  <c r="G72" i="16" a="1"/>
  <c r="G72" i="16" s="1"/>
  <c r="F72" i="16"/>
  <c r="E72" i="16"/>
  <c r="I93" i="16" a="1"/>
  <c r="I93" i="16" s="1"/>
  <c r="G93" i="16" a="1"/>
  <c r="G93" i="16" s="1"/>
  <c r="F93" i="16"/>
  <c r="E93" i="16"/>
  <c r="G60" i="16" a="1"/>
  <c r="G60" i="16" s="1"/>
  <c r="F60" i="16"/>
  <c r="E60" i="16"/>
  <c r="G20" i="16" a="1"/>
  <c r="G20" i="16" s="1"/>
  <c r="F20" i="16"/>
  <c r="E20" i="16"/>
  <c r="G101" i="16" a="1"/>
  <c r="G101" i="16" s="1"/>
  <c r="F101" i="16"/>
  <c r="E101" i="16"/>
  <c r="I39" i="16" a="1"/>
  <c r="I39" i="16" s="1"/>
  <c r="G39" i="16" a="1"/>
  <c r="G39" i="16" s="1"/>
  <c r="F39" i="16"/>
  <c r="E39" i="16"/>
  <c r="G80" i="16" a="1"/>
  <c r="G80" i="16" s="1"/>
  <c r="F80" i="16"/>
  <c r="E80" i="16"/>
  <c r="I29" i="16" a="1"/>
  <c r="I29" i="16" s="1"/>
  <c r="G29" i="16" a="1"/>
  <c r="G29" i="16" s="1"/>
  <c r="F29" i="16"/>
  <c r="E29" i="16"/>
  <c r="I57" i="16" a="1"/>
  <c r="I57" i="16" s="1"/>
  <c r="G57" i="16" a="1"/>
  <c r="G57" i="16" s="1"/>
  <c r="F57" i="16"/>
  <c r="E57" i="16"/>
  <c r="G42" i="16" a="1"/>
  <c r="G42" i="16" s="1"/>
  <c r="F42" i="16"/>
  <c r="E42" i="16"/>
  <c r="I9" i="16" a="1"/>
  <c r="I9" i="16" s="1"/>
  <c r="G9" i="16" a="1"/>
  <c r="G9" i="16" s="1"/>
  <c r="F9" i="16"/>
  <c r="E9" i="16"/>
  <c r="G85" i="16" a="1"/>
  <c r="G85" i="16" s="1"/>
  <c r="F85" i="16"/>
  <c r="E85" i="16"/>
  <c r="G6" i="16" a="1"/>
  <c r="G6" i="16" s="1"/>
  <c r="F6" i="16"/>
  <c r="E6" i="16"/>
  <c r="G82" i="16" a="1"/>
  <c r="G82" i="16" s="1"/>
  <c r="F82" i="16"/>
  <c r="E82" i="16"/>
  <c r="G10" i="16" a="1"/>
  <c r="G10" i="16" s="1"/>
  <c r="F10" i="16"/>
  <c r="E10" i="16"/>
  <c r="I89" i="16" a="1"/>
  <c r="I89" i="16" s="1"/>
  <c r="G89" i="16" a="1"/>
  <c r="G89" i="16" s="1"/>
  <c r="F89" i="16"/>
  <c r="E89" i="16"/>
  <c r="I77" i="16" a="1"/>
  <c r="I77" i="16" s="1"/>
  <c r="G77" i="16" a="1"/>
  <c r="G77" i="16" s="1"/>
  <c r="F77" i="16"/>
  <c r="E77" i="16"/>
  <c r="I18" i="16" a="1"/>
  <c r="I18" i="16" s="1"/>
  <c r="G18" i="16" a="1"/>
  <c r="G18" i="16" s="1"/>
  <c r="F18" i="16"/>
  <c r="E18" i="16"/>
  <c r="I91" i="16" a="1"/>
  <c r="I91" i="16" s="1"/>
  <c r="G91" i="16" a="1"/>
  <c r="G91" i="16" s="1"/>
  <c r="F91" i="16"/>
  <c r="E91" i="16"/>
  <c r="G23" i="16" a="1"/>
  <c r="G23" i="16" s="1"/>
  <c r="F23" i="16"/>
  <c r="E23" i="16"/>
  <c r="G12" i="16" a="1"/>
  <c r="G12" i="16" s="1"/>
  <c r="F12" i="16"/>
  <c r="E12" i="16"/>
  <c r="I48" i="16" a="1"/>
  <c r="I48" i="16" s="1"/>
  <c r="G48" i="16" a="1"/>
  <c r="G48" i="16" s="1"/>
  <c r="F48" i="16"/>
  <c r="E48" i="16"/>
  <c r="G5" i="16" a="1"/>
  <c r="G5" i="16" s="1"/>
  <c r="F5" i="16"/>
  <c r="E5" i="16"/>
  <c r="G46" i="16" a="1"/>
  <c r="G46" i="16" s="1"/>
  <c r="F46" i="16"/>
  <c r="E46" i="16"/>
  <c r="I31" i="16" a="1"/>
  <c r="I31" i="16" s="1"/>
  <c r="G31" i="16" a="1"/>
  <c r="G31" i="16" s="1"/>
  <c r="F31" i="16"/>
  <c r="E31" i="16"/>
  <c r="G36" i="16" a="1"/>
  <c r="G36" i="16" s="1"/>
  <c r="F36" i="16"/>
  <c r="E36" i="16"/>
  <c r="I87" i="16" a="1"/>
  <c r="I87" i="16" s="1"/>
  <c r="G87" i="16" a="1"/>
  <c r="G87" i="16" s="1"/>
  <c r="F87" i="16"/>
  <c r="E87" i="16"/>
  <c r="I86" i="16" a="1"/>
  <c r="I86" i="16" s="1"/>
  <c r="G86" i="16" a="1"/>
  <c r="G86" i="16" s="1"/>
  <c r="F86" i="16"/>
  <c r="E86" i="16"/>
  <c r="G59" i="16" a="1"/>
  <c r="G59" i="16" s="1"/>
  <c r="F59" i="16"/>
  <c r="E59" i="16"/>
  <c r="G43" i="16" a="1"/>
  <c r="G43" i="16" s="1"/>
  <c r="F43" i="16"/>
  <c r="E43" i="16"/>
  <c r="I44" i="16" a="1"/>
  <c r="I44" i="16" s="1"/>
  <c r="G44" i="16" a="1"/>
  <c r="G44" i="16" s="1"/>
  <c r="F44" i="16"/>
  <c r="E44" i="16"/>
  <c r="I27" i="16" a="1"/>
  <c r="I27" i="16" s="1"/>
  <c r="G27" i="16" a="1"/>
  <c r="G27" i="16" s="1"/>
  <c r="F27" i="16"/>
  <c r="E27" i="16"/>
  <c r="I90" i="16" a="1"/>
  <c r="I90" i="16" s="1"/>
  <c r="G90" i="16" a="1"/>
  <c r="G90" i="16" s="1"/>
  <c r="F90" i="16"/>
  <c r="E90" i="16"/>
  <c r="I99" i="16" a="1"/>
  <c r="I99" i="16" s="1"/>
  <c r="G99" i="16" a="1"/>
  <c r="G99" i="16" s="1"/>
  <c r="F99" i="16"/>
  <c r="E99" i="16"/>
  <c r="I14" i="16" a="1"/>
  <c r="I14" i="16" s="1"/>
  <c r="G14" i="16" a="1"/>
  <c r="G14" i="16" s="1"/>
  <c r="F14" i="16"/>
  <c r="E14" i="16"/>
  <c r="I53" i="16" a="1"/>
  <c r="I53" i="16" s="1"/>
  <c r="G53" i="16" a="1"/>
  <c r="G53" i="16" s="1"/>
  <c r="F53" i="16"/>
  <c r="E53" i="16"/>
  <c r="I50" i="16" a="1"/>
  <c r="I50" i="16" s="1"/>
  <c r="G50" i="16" a="1"/>
  <c r="G50" i="16" s="1"/>
  <c r="F50" i="16"/>
  <c r="E50" i="16"/>
  <c r="G70" i="16" a="1"/>
  <c r="G70" i="16" s="1"/>
  <c r="F70" i="16"/>
  <c r="E70" i="16"/>
  <c r="G58" i="16" a="1"/>
  <c r="G58" i="16" s="1"/>
  <c r="F58" i="16"/>
  <c r="E58" i="16"/>
  <c r="G56" i="16" a="1"/>
  <c r="G56" i="16" s="1"/>
  <c r="F56" i="16"/>
  <c r="E56" i="16"/>
  <c r="G94" i="16" a="1"/>
  <c r="G94" i="16" s="1"/>
  <c r="F94" i="16"/>
  <c r="E94" i="16"/>
  <c r="I88" i="16" a="1"/>
  <c r="I88" i="16" s="1"/>
  <c r="G88" i="16" a="1"/>
  <c r="G88" i="16" s="1"/>
  <c r="F88" i="16"/>
  <c r="E88" i="16"/>
  <c r="I65" i="16" a="1"/>
  <c r="I65" i="16" s="1"/>
  <c r="G65" i="16" a="1"/>
  <c r="G65" i="16" s="1"/>
  <c r="F65" i="16"/>
  <c r="E65" i="16"/>
  <c r="I16" i="16" a="1"/>
  <c r="I16" i="16" s="1"/>
  <c r="G16" i="16" a="1"/>
  <c r="G16" i="16" s="1"/>
  <c r="F16" i="16"/>
  <c r="E16" i="16"/>
  <c r="G13" i="16" a="1"/>
  <c r="G13" i="16" s="1"/>
  <c r="F13" i="16"/>
  <c r="E13" i="16"/>
  <c r="I54" i="16" a="1"/>
  <c r="I54" i="16" s="1"/>
  <c r="G54" i="16" a="1"/>
  <c r="G54" i="16" s="1"/>
  <c r="F54" i="16"/>
  <c r="E54" i="16"/>
  <c r="I4" i="16" a="1"/>
  <c r="I4" i="16" s="1"/>
  <c r="G4" i="16" a="1"/>
  <c r="G4" i="16" s="1"/>
  <c r="F4" i="16"/>
  <c r="E4" i="16"/>
  <c r="I62" i="16" a="1"/>
  <c r="I62" i="16" s="1"/>
  <c r="G62" i="16" a="1"/>
  <c r="G62" i="16" s="1"/>
  <c r="F62" i="16"/>
  <c r="E62" i="16"/>
  <c r="I3" i="16" a="1"/>
  <c r="I3" i="16" s="1"/>
  <c r="G3" i="16" a="1"/>
  <c r="G3" i="16" s="1"/>
  <c r="F3" i="16"/>
  <c r="E3" i="16"/>
  <c r="I79" i="16" a="1"/>
  <c r="I79" i="16" s="1"/>
  <c r="G79" i="16" a="1"/>
  <c r="G79" i="16" s="1"/>
  <c r="F79" i="16"/>
  <c r="E79" i="16"/>
  <c r="I26" i="16" a="1"/>
  <c r="I26" i="16" s="1"/>
  <c r="G26" i="16" a="1"/>
  <c r="G26" i="16" s="1"/>
  <c r="F26" i="16"/>
  <c r="E26" i="16"/>
  <c r="I74" i="16" a="1"/>
  <c r="I74" i="16" s="1"/>
  <c r="G74" i="16" a="1"/>
  <c r="G74" i="16" s="1"/>
  <c r="F74" i="16"/>
  <c r="E74" i="16"/>
  <c r="G100" i="16" a="1"/>
  <c r="G100" i="16" s="1"/>
  <c r="F100" i="16"/>
  <c r="E100" i="16"/>
  <c r="G34" i="16" a="1"/>
  <c r="G34" i="16" s="1"/>
  <c r="F34" i="16"/>
  <c r="E34" i="16"/>
  <c r="I30" i="16" a="1"/>
  <c r="I30" i="16" s="1"/>
  <c r="G30" i="16" a="1"/>
  <c r="G30" i="16" s="1"/>
  <c r="F30" i="16"/>
  <c r="E30" i="16"/>
  <c r="G1001" i="1"/>
  <c r="F1001" i="1"/>
  <c r="F1001" i="1" a="1"/>
  <c r="G1000" i="1"/>
  <c r="F1000" i="1"/>
  <c r="F1000" i="1" a="1"/>
  <c r="G999" i="1"/>
  <c r="F999" i="1"/>
  <c r="F999" i="1" a="1"/>
  <c r="G998" i="1"/>
  <c r="F998" i="1"/>
  <c r="F998" i="1" a="1"/>
  <c r="G997" i="1"/>
  <c r="F997" i="1"/>
  <c r="F997" i="1" a="1"/>
  <c r="G996" i="1"/>
  <c r="F996" i="1"/>
  <c r="F996" i="1" a="1"/>
  <c r="G995" i="1"/>
  <c r="F995" i="1"/>
  <c r="F995" i="1" a="1"/>
  <c r="G994" i="1"/>
  <c r="F994" i="1"/>
  <c r="F994" i="1" a="1"/>
  <c r="G993" i="1"/>
  <c r="F993" i="1"/>
  <c r="F993" i="1" a="1"/>
  <c r="G992" i="1"/>
  <c r="F992" i="1"/>
  <c r="F992" i="1" a="1"/>
  <c r="G991" i="1"/>
  <c r="F991" i="1"/>
  <c r="F991" i="1" a="1"/>
  <c r="G990" i="1"/>
  <c r="F990" i="1"/>
  <c r="F990" i="1" a="1"/>
  <c r="G989" i="1"/>
  <c r="F989" i="1"/>
  <c r="F989" i="1" a="1"/>
  <c r="G988" i="1"/>
  <c r="F988" i="1"/>
  <c r="F988" i="1" a="1"/>
  <c r="G987" i="1"/>
  <c r="F987" i="1"/>
  <c r="F987" i="1" a="1"/>
  <c r="G986" i="1"/>
  <c r="F986" i="1"/>
  <c r="F986" i="1" a="1"/>
  <c r="G985" i="1"/>
  <c r="F985" i="1"/>
  <c r="F985" i="1" a="1"/>
  <c r="G984" i="1"/>
  <c r="F984" i="1"/>
  <c r="F984" i="1" a="1"/>
  <c r="G983" i="1"/>
  <c r="F983" i="1"/>
  <c r="F983" i="1" a="1"/>
  <c r="G982" i="1"/>
  <c r="F982" i="1"/>
  <c r="F982" i="1" a="1"/>
  <c r="G981" i="1"/>
  <c r="F981" i="1"/>
  <c r="F981" i="1" a="1"/>
  <c r="G980" i="1"/>
  <c r="F980" i="1"/>
  <c r="F980" i="1" a="1"/>
  <c r="G979" i="1"/>
  <c r="F979" i="1"/>
  <c r="F979" i="1" a="1"/>
  <c r="G978" i="1"/>
  <c r="F978" i="1"/>
  <c r="F978" i="1" a="1"/>
  <c r="G977" i="1"/>
  <c r="F977" i="1"/>
  <c r="F977" i="1" a="1"/>
  <c r="G976" i="1"/>
  <c r="F976" i="1"/>
  <c r="F976" i="1" a="1"/>
  <c r="G975" i="1"/>
  <c r="F975" i="1"/>
  <c r="F975" i="1" a="1"/>
  <c r="G974" i="1"/>
  <c r="F974" i="1"/>
  <c r="F974" i="1" a="1"/>
  <c r="G973" i="1"/>
  <c r="F973" i="1"/>
  <c r="F973" i="1" a="1"/>
  <c r="G972" i="1"/>
  <c r="F972" i="1"/>
  <c r="F972" i="1" a="1"/>
  <c r="G971" i="1"/>
  <c r="F971" i="1"/>
  <c r="F971" i="1" a="1"/>
  <c r="G970" i="1"/>
  <c r="F970" i="1"/>
  <c r="F970" i="1" a="1"/>
  <c r="G969" i="1"/>
  <c r="F969" i="1"/>
  <c r="F969" i="1" a="1"/>
  <c r="G968" i="1"/>
  <c r="F968" i="1"/>
  <c r="F968" i="1" a="1"/>
  <c r="G967" i="1"/>
  <c r="F967" i="1"/>
  <c r="F967" i="1" a="1"/>
  <c r="G966" i="1"/>
  <c r="F966" i="1"/>
  <c r="F966" i="1" a="1"/>
  <c r="G965" i="1"/>
  <c r="F965" i="1"/>
  <c r="F965" i="1" a="1"/>
  <c r="G964" i="1"/>
  <c r="F964" i="1"/>
  <c r="F964" i="1" a="1"/>
  <c r="G963" i="1"/>
  <c r="F963" i="1"/>
  <c r="F963" i="1" a="1"/>
  <c r="G962" i="1"/>
  <c r="F962" i="1"/>
  <c r="F962" i="1" a="1"/>
  <c r="G961" i="1"/>
  <c r="F961" i="1"/>
  <c r="F961" i="1" a="1"/>
  <c r="G960" i="1"/>
  <c r="F960" i="1"/>
  <c r="F960" i="1" a="1"/>
  <c r="G959" i="1"/>
  <c r="F959" i="1"/>
  <c r="F959" i="1" a="1"/>
  <c r="G958" i="1"/>
  <c r="F958" i="1"/>
  <c r="F958" i="1" a="1"/>
  <c r="G957" i="1"/>
  <c r="F957" i="1"/>
  <c r="F957" i="1" a="1"/>
  <c r="G956" i="1"/>
  <c r="F956" i="1"/>
  <c r="F956" i="1" a="1"/>
  <c r="G955" i="1"/>
  <c r="F955" i="1"/>
  <c r="F955" i="1" a="1"/>
  <c r="G954" i="1"/>
  <c r="F954" i="1"/>
  <c r="F954" i="1" a="1"/>
  <c r="G953" i="1"/>
  <c r="F953" i="1"/>
  <c r="F953" i="1" a="1"/>
  <c r="G952" i="1"/>
  <c r="F952" i="1"/>
  <c r="F952" i="1" a="1"/>
  <c r="G951" i="1"/>
  <c r="F951" i="1"/>
  <c r="F951" i="1" a="1"/>
  <c r="G950" i="1"/>
  <c r="F950" i="1"/>
  <c r="F950" i="1" a="1"/>
  <c r="G949" i="1"/>
  <c r="F949" i="1"/>
  <c r="F949" i="1" a="1"/>
  <c r="G948" i="1"/>
  <c r="F948" i="1"/>
  <c r="F948" i="1" a="1"/>
  <c r="G947" i="1"/>
  <c r="F947" i="1"/>
  <c r="F947" i="1" a="1"/>
  <c r="G946" i="1"/>
  <c r="F946" i="1"/>
  <c r="F946" i="1" a="1"/>
  <c r="G945" i="1"/>
  <c r="F945" i="1"/>
  <c r="F945" i="1" a="1"/>
  <c r="G944" i="1"/>
  <c r="F944" i="1"/>
  <c r="F944" i="1" a="1"/>
  <c r="G943" i="1"/>
  <c r="F943" i="1"/>
  <c r="F943" i="1" a="1"/>
  <c r="G942" i="1"/>
  <c r="F942" i="1"/>
  <c r="F942" i="1" a="1"/>
  <c r="G941" i="1"/>
  <c r="F941" i="1"/>
  <c r="F941" i="1" a="1"/>
  <c r="G940" i="1"/>
  <c r="F940" i="1"/>
  <c r="F940" i="1" a="1"/>
  <c r="G939" i="1"/>
  <c r="F939" i="1"/>
  <c r="F939" i="1" a="1"/>
  <c r="G938" i="1"/>
  <c r="F938" i="1"/>
  <c r="F938" i="1" a="1"/>
  <c r="G937" i="1"/>
  <c r="F937" i="1"/>
  <c r="F937" i="1" a="1"/>
  <c r="G936" i="1"/>
  <c r="F936" i="1"/>
  <c r="F936" i="1" a="1"/>
  <c r="G935" i="1"/>
  <c r="F935" i="1"/>
  <c r="F935" i="1" a="1"/>
  <c r="G934" i="1"/>
  <c r="F934" i="1"/>
  <c r="F934" i="1" a="1"/>
  <c r="G933" i="1"/>
  <c r="F933" i="1"/>
  <c r="F933" i="1" a="1"/>
  <c r="G932" i="1"/>
  <c r="F932" i="1"/>
  <c r="F932" i="1" a="1"/>
  <c r="G931" i="1"/>
  <c r="F931" i="1"/>
  <c r="F931" i="1" a="1"/>
  <c r="G930" i="1"/>
  <c r="F930" i="1"/>
  <c r="F930" i="1" a="1"/>
  <c r="G929" i="1"/>
  <c r="F929" i="1"/>
  <c r="F929" i="1" a="1"/>
  <c r="G928" i="1"/>
  <c r="F928" i="1"/>
  <c r="F928" i="1" a="1"/>
  <c r="G927" i="1"/>
  <c r="F927" i="1"/>
  <c r="F927" i="1" a="1"/>
  <c r="G926" i="1"/>
  <c r="F926" i="1"/>
  <c r="F926" i="1" a="1"/>
  <c r="G925" i="1"/>
  <c r="F925" i="1"/>
  <c r="F925" i="1" a="1"/>
  <c r="G924" i="1"/>
  <c r="F924" i="1"/>
  <c r="F924" i="1" a="1"/>
  <c r="G923" i="1"/>
  <c r="F923" i="1"/>
  <c r="F923" i="1" a="1"/>
  <c r="G922" i="1"/>
  <c r="F922" i="1"/>
  <c r="F922" i="1" a="1"/>
  <c r="G921" i="1"/>
  <c r="F921" i="1"/>
  <c r="F921" i="1" a="1"/>
  <c r="G920" i="1"/>
  <c r="F920" i="1"/>
  <c r="F920" i="1" a="1"/>
  <c r="G919" i="1"/>
  <c r="F919" i="1"/>
  <c r="F919" i="1" a="1"/>
  <c r="G918" i="1"/>
  <c r="F918" i="1"/>
  <c r="F918" i="1" a="1"/>
  <c r="G917" i="1"/>
  <c r="F917" i="1"/>
  <c r="F917" i="1" a="1"/>
  <c r="G916" i="1"/>
  <c r="F916" i="1"/>
  <c r="F916" i="1" a="1"/>
  <c r="G915" i="1"/>
  <c r="F915" i="1"/>
  <c r="F915" i="1" a="1"/>
  <c r="G914" i="1"/>
  <c r="F914" i="1"/>
  <c r="F914" i="1" a="1"/>
  <c r="G913" i="1"/>
  <c r="F913" i="1"/>
  <c r="F913" i="1" a="1"/>
  <c r="G912" i="1"/>
  <c r="F912" i="1"/>
  <c r="F912" i="1" a="1"/>
  <c r="G911" i="1"/>
  <c r="F911" i="1"/>
  <c r="F911" i="1" a="1"/>
  <c r="G910" i="1"/>
  <c r="F910" i="1"/>
  <c r="F910" i="1" a="1"/>
  <c r="G909" i="1"/>
  <c r="F909" i="1"/>
  <c r="F909" i="1" a="1"/>
  <c r="G908" i="1"/>
  <c r="F908" i="1"/>
  <c r="F908" i="1" a="1"/>
  <c r="G907" i="1"/>
  <c r="F907" i="1"/>
  <c r="F907" i="1" a="1"/>
  <c r="G906" i="1"/>
  <c r="F906" i="1"/>
  <c r="F906" i="1" a="1"/>
  <c r="G905" i="1"/>
  <c r="F905" i="1"/>
  <c r="F905" i="1" a="1"/>
  <c r="G904" i="1"/>
  <c r="F904" i="1"/>
  <c r="F904" i="1" a="1"/>
  <c r="G903" i="1"/>
  <c r="F903" i="1"/>
  <c r="F903" i="1" a="1"/>
  <c r="G902" i="1"/>
  <c r="F902" i="1"/>
  <c r="F902" i="1" a="1"/>
  <c r="G901" i="1"/>
  <c r="F901" i="1"/>
  <c r="F901" i="1" a="1"/>
  <c r="G900" i="1"/>
  <c r="F900" i="1"/>
  <c r="F900" i="1" a="1"/>
  <c r="G899" i="1"/>
  <c r="F899" i="1"/>
  <c r="F899" i="1" a="1"/>
  <c r="G898" i="1"/>
  <c r="F898" i="1"/>
  <c r="F898" i="1" a="1"/>
  <c r="G897" i="1"/>
  <c r="F897" i="1"/>
  <c r="F897" i="1" a="1"/>
  <c r="G896" i="1"/>
  <c r="F896" i="1"/>
  <c r="F896" i="1" a="1"/>
  <c r="G895" i="1"/>
  <c r="F895" i="1"/>
  <c r="F895" i="1" a="1"/>
  <c r="G894" i="1"/>
  <c r="F894" i="1"/>
  <c r="F894" i="1" a="1"/>
  <c r="G893" i="1"/>
  <c r="F893" i="1"/>
  <c r="F893" i="1" a="1"/>
  <c r="G892" i="1"/>
  <c r="F892" i="1"/>
  <c r="F892" i="1" a="1"/>
  <c r="G891" i="1"/>
  <c r="F891" i="1"/>
  <c r="F891" i="1" a="1"/>
  <c r="G890" i="1"/>
  <c r="F890" i="1"/>
  <c r="F890" i="1" a="1"/>
  <c r="G889" i="1"/>
  <c r="F889" i="1"/>
  <c r="F889" i="1" a="1"/>
  <c r="G888" i="1"/>
  <c r="F888" i="1"/>
  <c r="F888" i="1" a="1"/>
  <c r="G887" i="1"/>
  <c r="F887" i="1"/>
  <c r="F887" i="1" a="1"/>
  <c r="G886" i="1"/>
  <c r="F886" i="1"/>
  <c r="F886" i="1" a="1"/>
  <c r="G885" i="1"/>
  <c r="F885" i="1"/>
  <c r="F885" i="1" a="1"/>
  <c r="G884" i="1"/>
  <c r="F884" i="1"/>
  <c r="F884" i="1" a="1"/>
  <c r="G883" i="1"/>
  <c r="F883" i="1"/>
  <c r="F883" i="1" a="1"/>
  <c r="G882" i="1"/>
  <c r="F882" i="1"/>
  <c r="F882" i="1" a="1"/>
  <c r="G881" i="1"/>
  <c r="F881" i="1"/>
  <c r="F881" i="1" a="1"/>
  <c r="G880" i="1"/>
  <c r="F880" i="1"/>
  <c r="F880" i="1" a="1"/>
  <c r="G879" i="1"/>
  <c r="F879" i="1"/>
  <c r="F879" i="1" a="1"/>
  <c r="G878" i="1"/>
  <c r="F878" i="1"/>
  <c r="F878" i="1" a="1"/>
  <c r="G877" i="1"/>
  <c r="F877" i="1"/>
  <c r="F877" i="1" a="1"/>
  <c r="G876" i="1"/>
  <c r="F876" i="1"/>
  <c r="F876" i="1" a="1"/>
  <c r="G875" i="1"/>
  <c r="F875" i="1"/>
  <c r="F875" i="1" a="1"/>
  <c r="G874" i="1"/>
  <c r="F874" i="1"/>
  <c r="F874" i="1" a="1"/>
  <c r="G873" i="1"/>
  <c r="F873" i="1"/>
  <c r="F873" i="1" a="1"/>
  <c r="G872" i="1"/>
  <c r="F872" i="1"/>
  <c r="F872" i="1" a="1"/>
  <c r="G871" i="1"/>
  <c r="F871" i="1"/>
  <c r="F871" i="1" a="1"/>
  <c r="G870" i="1"/>
  <c r="F870" i="1"/>
  <c r="F870" i="1" a="1"/>
  <c r="G869" i="1"/>
  <c r="F869" i="1"/>
  <c r="F869" i="1" a="1"/>
  <c r="G868" i="1"/>
  <c r="F868" i="1"/>
  <c r="F868" i="1" a="1"/>
  <c r="G867" i="1"/>
  <c r="F867" i="1"/>
  <c r="F867" i="1" a="1"/>
  <c r="G866" i="1"/>
  <c r="F866" i="1"/>
  <c r="F866" i="1" a="1"/>
  <c r="G865" i="1"/>
  <c r="F865" i="1"/>
  <c r="F865" i="1" a="1"/>
  <c r="G864" i="1"/>
  <c r="F864" i="1"/>
  <c r="F864" i="1" a="1"/>
  <c r="G863" i="1"/>
  <c r="F863" i="1"/>
  <c r="F863" i="1" a="1"/>
  <c r="G862" i="1"/>
  <c r="F862" i="1"/>
  <c r="F862" i="1" a="1"/>
  <c r="G861" i="1"/>
  <c r="F861" i="1"/>
  <c r="F861" i="1" a="1"/>
  <c r="G860" i="1"/>
  <c r="F860" i="1"/>
  <c r="F860" i="1" a="1"/>
  <c r="G859" i="1"/>
  <c r="F859" i="1"/>
  <c r="F859" i="1" a="1"/>
  <c r="G858" i="1"/>
  <c r="F858" i="1"/>
  <c r="F858" i="1" a="1"/>
  <c r="G857" i="1"/>
  <c r="F857" i="1"/>
  <c r="F857" i="1" a="1"/>
  <c r="G856" i="1"/>
  <c r="F856" i="1"/>
  <c r="F856" i="1" a="1"/>
  <c r="G855" i="1"/>
  <c r="F855" i="1"/>
  <c r="F855" i="1" a="1"/>
  <c r="G854" i="1"/>
  <c r="F854" i="1"/>
  <c r="F854" i="1" a="1"/>
  <c r="G853" i="1"/>
  <c r="F853" i="1"/>
  <c r="F853" i="1" a="1"/>
  <c r="G852" i="1"/>
  <c r="F852" i="1"/>
  <c r="F852" i="1" a="1"/>
  <c r="G851" i="1"/>
  <c r="F851" i="1"/>
  <c r="F851" i="1" a="1"/>
  <c r="G850" i="1"/>
  <c r="F850" i="1"/>
  <c r="F850" i="1" a="1"/>
  <c r="G849" i="1"/>
  <c r="F849" i="1"/>
  <c r="F849" i="1" a="1"/>
  <c r="G848" i="1"/>
  <c r="F848" i="1"/>
  <c r="F848" i="1" a="1"/>
  <c r="G847" i="1"/>
  <c r="F847" i="1"/>
  <c r="F847" i="1" a="1"/>
  <c r="G846" i="1"/>
  <c r="F846" i="1"/>
  <c r="F846" i="1" a="1"/>
  <c r="G845" i="1"/>
  <c r="F845" i="1"/>
  <c r="F845" i="1" a="1"/>
  <c r="G844" i="1"/>
  <c r="F844" i="1"/>
  <c r="F844" i="1" a="1"/>
  <c r="G843" i="1"/>
  <c r="F843" i="1"/>
  <c r="F843" i="1" a="1"/>
  <c r="G842" i="1"/>
  <c r="F842" i="1"/>
  <c r="F842" i="1" a="1"/>
  <c r="G841" i="1"/>
  <c r="F841" i="1"/>
  <c r="F841" i="1" a="1"/>
  <c r="G840" i="1"/>
  <c r="F840" i="1"/>
  <c r="F840" i="1" a="1"/>
  <c r="G839" i="1"/>
  <c r="F839" i="1"/>
  <c r="F839" i="1" a="1"/>
  <c r="G838" i="1"/>
  <c r="F838" i="1"/>
  <c r="F838" i="1" a="1"/>
  <c r="G837" i="1"/>
  <c r="F837" i="1"/>
  <c r="F837" i="1" a="1"/>
  <c r="G836" i="1"/>
  <c r="F836" i="1"/>
  <c r="F836" i="1" a="1"/>
  <c r="G835" i="1"/>
  <c r="F835" i="1"/>
  <c r="F835" i="1" a="1"/>
  <c r="G834" i="1"/>
  <c r="F834" i="1"/>
  <c r="F834" i="1" a="1"/>
  <c r="G833" i="1"/>
  <c r="F833" i="1"/>
  <c r="F833" i="1" a="1"/>
  <c r="G832" i="1"/>
  <c r="F832" i="1"/>
  <c r="F832" i="1" a="1"/>
  <c r="G831" i="1"/>
  <c r="F831" i="1"/>
  <c r="F831" i="1" a="1"/>
  <c r="G830" i="1"/>
  <c r="F830" i="1"/>
  <c r="F830" i="1" a="1"/>
  <c r="G829" i="1"/>
  <c r="F829" i="1"/>
  <c r="F829" i="1" a="1"/>
  <c r="G828" i="1"/>
  <c r="F828" i="1"/>
  <c r="F828" i="1" a="1"/>
  <c r="G827" i="1"/>
  <c r="F827" i="1"/>
  <c r="F827" i="1" a="1"/>
  <c r="G826" i="1"/>
  <c r="F826" i="1"/>
  <c r="F826" i="1" a="1"/>
  <c r="G825" i="1"/>
  <c r="F825" i="1"/>
  <c r="F825" i="1" a="1"/>
  <c r="G824" i="1"/>
  <c r="F824" i="1"/>
  <c r="F824" i="1" a="1"/>
  <c r="G823" i="1"/>
  <c r="F823" i="1"/>
  <c r="F823" i="1" a="1"/>
  <c r="G822" i="1"/>
  <c r="F822" i="1"/>
  <c r="F822" i="1" a="1"/>
  <c r="G821" i="1"/>
  <c r="F821" i="1"/>
  <c r="F821" i="1" a="1"/>
  <c r="G820" i="1"/>
  <c r="F820" i="1"/>
  <c r="F820" i="1" a="1"/>
  <c r="G819" i="1"/>
  <c r="F819" i="1"/>
  <c r="F819" i="1" a="1"/>
  <c r="G818" i="1"/>
  <c r="F818" i="1"/>
  <c r="F818" i="1" a="1"/>
  <c r="G817" i="1"/>
  <c r="F817" i="1"/>
  <c r="F817" i="1" a="1"/>
  <c r="G816" i="1"/>
  <c r="F816" i="1"/>
  <c r="F816" i="1" a="1"/>
  <c r="G815" i="1"/>
  <c r="F815" i="1"/>
  <c r="F815" i="1" a="1"/>
  <c r="G814" i="1"/>
  <c r="F814" i="1"/>
  <c r="F814" i="1" a="1"/>
  <c r="G813" i="1"/>
  <c r="F813" i="1"/>
  <c r="F813" i="1" a="1"/>
  <c r="G812" i="1"/>
  <c r="F812" i="1"/>
  <c r="F812" i="1" a="1"/>
  <c r="G811" i="1"/>
  <c r="F811" i="1"/>
  <c r="F811" i="1" a="1"/>
  <c r="G810" i="1"/>
  <c r="F810" i="1"/>
  <c r="F810" i="1" a="1"/>
  <c r="G809" i="1"/>
  <c r="F809" i="1"/>
  <c r="F809" i="1" a="1"/>
  <c r="G808" i="1"/>
  <c r="F808" i="1"/>
  <c r="F808" i="1" a="1"/>
  <c r="G807" i="1"/>
  <c r="F807" i="1"/>
  <c r="F807" i="1" a="1"/>
  <c r="G806" i="1"/>
  <c r="F806" i="1"/>
  <c r="F806" i="1" a="1"/>
  <c r="G805" i="1"/>
  <c r="F805" i="1"/>
  <c r="F805" i="1" a="1"/>
  <c r="G804" i="1"/>
  <c r="F804" i="1"/>
  <c r="F804" i="1" a="1"/>
  <c r="G803" i="1"/>
  <c r="F803" i="1"/>
  <c r="F803" i="1" a="1"/>
  <c r="G802" i="1"/>
  <c r="F802" i="1"/>
  <c r="F802" i="1" a="1"/>
  <c r="G801" i="1"/>
  <c r="F801" i="1"/>
  <c r="F801" i="1" a="1"/>
  <c r="G800" i="1"/>
  <c r="F800" i="1"/>
  <c r="F800" i="1" a="1"/>
  <c r="G799" i="1"/>
  <c r="F799" i="1"/>
  <c r="F799" i="1" a="1"/>
  <c r="G798" i="1"/>
  <c r="F798" i="1"/>
  <c r="F798" i="1" a="1"/>
  <c r="G797" i="1"/>
  <c r="F797" i="1"/>
  <c r="F797" i="1" a="1"/>
  <c r="G796" i="1"/>
  <c r="F796" i="1"/>
  <c r="F796" i="1" a="1"/>
  <c r="G795" i="1"/>
  <c r="F795" i="1"/>
  <c r="F795" i="1" a="1"/>
  <c r="G794" i="1"/>
  <c r="F794" i="1"/>
  <c r="F794" i="1" a="1"/>
  <c r="G793" i="1"/>
  <c r="F793" i="1"/>
  <c r="F793" i="1" a="1"/>
  <c r="G792" i="1"/>
  <c r="F792" i="1"/>
  <c r="F792" i="1" a="1"/>
  <c r="G791" i="1"/>
  <c r="F791" i="1"/>
  <c r="F791" i="1" a="1"/>
  <c r="G790" i="1"/>
  <c r="F790" i="1"/>
  <c r="F790" i="1" a="1"/>
  <c r="G789" i="1"/>
  <c r="F789" i="1"/>
  <c r="F789" i="1" a="1"/>
  <c r="G788" i="1"/>
  <c r="F788" i="1"/>
  <c r="F788" i="1" a="1"/>
  <c r="G787" i="1"/>
  <c r="F787" i="1"/>
  <c r="F787" i="1" a="1"/>
  <c r="G786" i="1"/>
  <c r="F786" i="1"/>
  <c r="F786" i="1" a="1"/>
  <c r="G785" i="1"/>
  <c r="F785" i="1"/>
  <c r="F785" i="1" a="1"/>
  <c r="G784" i="1"/>
  <c r="F784" i="1"/>
  <c r="F784" i="1" a="1"/>
  <c r="G783" i="1"/>
  <c r="F783" i="1"/>
  <c r="F783" i="1" a="1"/>
  <c r="G782" i="1"/>
  <c r="F782" i="1"/>
  <c r="F782" i="1" a="1"/>
  <c r="G781" i="1"/>
  <c r="F781" i="1"/>
  <c r="F781" i="1" a="1"/>
  <c r="G780" i="1"/>
  <c r="F780" i="1"/>
  <c r="F780" i="1" a="1"/>
  <c r="G779" i="1"/>
  <c r="F779" i="1"/>
  <c r="F779" i="1" a="1"/>
  <c r="G778" i="1"/>
  <c r="F778" i="1"/>
  <c r="F778" i="1" a="1"/>
  <c r="G777" i="1"/>
  <c r="F777" i="1"/>
  <c r="F777" i="1" a="1"/>
  <c r="G776" i="1"/>
  <c r="F776" i="1"/>
  <c r="F776" i="1" a="1"/>
  <c r="G775" i="1"/>
  <c r="F775" i="1"/>
  <c r="F775" i="1" a="1"/>
  <c r="G774" i="1"/>
  <c r="F774" i="1"/>
  <c r="F774" i="1" a="1"/>
  <c r="G773" i="1"/>
  <c r="F773" i="1"/>
  <c r="F773" i="1" a="1"/>
  <c r="G772" i="1"/>
  <c r="F772" i="1"/>
  <c r="F772" i="1" a="1"/>
  <c r="G771" i="1"/>
  <c r="F771" i="1"/>
  <c r="F771" i="1" a="1"/>
  <c r="G770" i="1"/>
  <c r="F770" i="1"/>
  <c r="F770" i="1" a="1"/>
  <c r="G769" i="1"/>
  <c r="F769" i="1"/>
  <c r="F769" i="1" a="1"/>
  <c r="G768" i="1"/>
  <c r="F768" i="1"/>
  <c r="F768" i="1" a="1"/>
  <c r="G767" i="1"/>
  <c r="F767" i="1"/>
  <c r="F767" i="1" a="1"/>
  <c r="G766" i="1"/>
  <c r="F766" i="1"/>
  <c r="F766" i="1" a="1"/>
  <c r="G765" i="1"/>
  <c r="F765" i="1"/>
  <c r="F765" i="1" a="1"/>
  <c r="G764" i="1"/>
  <c r="F764" i="1"/>
  <c r="F764" i="1" a="1"/>
  <c r="G763" i="1"/>
  <c r="F763" i="1"/>
  <c r="F763" i="1" a="1"/>
  <c r="G762" i="1"/>
  <c r="F762" i="1"/>
  <c r="F762" i="1" a="1"/>
  <c r="G761" i="1"/>
  <c r="F761" i="1"/>
  <c r="F761" i="1" a="1"/>
  <c r="G760" i="1"/>
  <c r="F760" i="1"/>
  <c r="F760" i="1" a="1"/>
  <c r="G759" i="1"/>
  <c r="F759" i="1"/>
  <c r="F759" i="1" a="1"/>
  <c r="G758" i="1"/>
  <c r="F758" i="1"/>
  <c r="F758" i="1" a="1"/>
  <c r="G757" i="1"/>
  <c r="F757" i="1"/>
  <c r="F757" i="1" a="1"/>
  <c r="G756" i="1"/>
  <c r="F756" i="1"/>
  <c r="F756" i="1" a="1"/>
  <c r="G755" i="1"/>
  <c r="F755" i="1"/>
  <c r="F755" i="1" a="1"/>
  <c r="G754" i="1"/>
  <c r="F754" i="1"/>
  <c r="F754" i="1" a="1"/>
  <c r="G753" i="1"/>
  <c r="F753" i="1"/>
  <c r="F753" i="1" a="1"/>
  <c r="G752" i="1"/>
  <c r="F752" i="1"/>
  <c r="F752" i="1" a="1"/>
  <c r="G751" i="1"/>
  <c r="F751" i="1"/>
  <c r="F751" i="1" a="1"/>
  <c r="G750" i="1"/>
  <c r="F750" i="1"/>
  <c r="F750" i="1" a="1"/>
  <c r="G749" i="1"/>
  <c r="F749" i="1"/>
  <c r="F749" i="1" a="1"/>
  <c r="G748" i="1"/>
  <c r="F748" i="1"/>
  <c r="F748" i="1" a="1"/>
  <c r="G747" i="1"/>
  <c r="F747" i="1"/>
  <c r="F747" i="1" a="1"/>
  <c r="G746" i="1"/>
  <c r="F746" i="1"/>
  <c r="F746" i="1" a="1"/>
  <c r="G745" i="1"/>
  <c r="F745" i="1"/>
  <c r="F745" i="1" a="1"/>
  <c r="G744" i="1"/>
  <c r="F744" i="1"/>
  <c r="F744" i="1" a="1"/>
  <c r="G743" i="1"/>
  <c r="F743" i="1"/>
  <c r="F743" i="1" a="1"/>
  <c r="G742" i="1"/>
  <c r="F742" i="1"/>
  <c r="F742" i="1" a="1"/>
  <c r="G741" i="1"/>
  <c r="F741" i="1"/>
  <c r="F741" i="1" a="1"/>
  <c r="G740" i="1"/>
  <c r="F740" i="1"/>
  <c r="F740" i="1" a="1"/>
  <c r="G739" i="1"/>
  <c r="F739" i="1"/>
  <c r="F739" i="1" a="1"/>
  <c r="G738" i="1"/>
  <c r="F738" i="1"/>
  <c r="F738" i="1" a="1"/>
  <c r="G737" i="1"/>
  <c r="F737" i="1"/>
  <c r="F737" i="1" a="1"/>
  <c r="G736" i="1"/>
  <c r="F736" i="1"/>
  <c r="F736" i="1" a="1"/>
  <c r="G735" i="1"/>
  <c r="F735" i="1"/>
  <c r="F735" i="1" a="1"/>
  <c r="G734" i="1"/>
  <c r="F734" i="1"/>
  <c r="F734" i="1" a="1"/>
  <c r="G733" i="1"/>
  <c r="F733" i="1"/>
  <c r="F733" i="1" a="1"/>
  <c r="G732" i="1"/>
  <c r="F732" i="1"/>
  <c r="F732" i="1" a="1"/>
  <c r="G731" i="1"/>
  <c r="F731" i="1"/>
  <c r="F731" i="1" a="1"/>
  <c r="G730" i="1"/>
  <c r="F730" i="1"/>
  <c r="F730" i="1" a="1"/>
  <c r="G729" i="1"/>
  <c r="F729" i="1"/>
  <c r="F729" i="1" a="1"/>
  <c r="G728" i="1"/>
  <c r="F728" i="1"/>
  <c r="F728" i="1" a="1"/>
  <c r="G727" i="1"/>
  <c r="F727" i="1"/>
  <c r="F727" i="1" a="1"/>
  <c r="G726" i="1"/>
  <c r="F726" i="1"/>
  <c r="F726" i="1" a="1"/>
  <c r="G725" i="1"/>
  <c r="F725" i="1"/>
  <c r="F725" i="1" a="1"/>
  <c r="G724" i="1"/>
  <c r="F724" i="1"/>
  <c r="F724" i="1" a="1"/>
  <c r="G723" i="1"/>
  <c r="F723" i="1"/>
  <c r="F723" i="1" a="1"/>
  <c r="G722" i="1"/>
  <c r="F722" i="1"/>
  <c r="F722" i="1" a="1"/>
  <c r="G721" i="1"/>
  <c r="F721" i="1"/>
  <c r="F721" i="1" a="1"/>
  <c r="G720" i="1"/>
  <c r="F720" i="1"/>
  <c r="F720" i="1" a="1"/>
  <c r="G719" i="1"/>
  <c r="F719" i="1"/>
  <c r="F719" i="1" a="1"/>
  <c r="G718" i="1"/>
  <c r="F718" i="1"/>
  <c r="F718" i="1" a="1"/>
  <c r="G717" i="1"/>
  <c r="F717" i="1"/>
  <c r="F717" i="1" a="1"/>
  <c r="G716" i="1"/>
  <c r="F716" i="1"/>
  <c r="F716" i="1" a="1"/>
  <c r="G715" i="1"/>
  <c r="F715" i="1"/>
  <c r="F715" i="1" a="1"/>
  <c r="G714" i="1"/>
  <c r="F714" i="1"/>
  <c r="F714" i="1" a="1"/>
  <c r="G713" i="1"/>
  <c r="F713" i="1"/>
  <c r="F713" i="1" a="1"/>
  <c r="G712" i="1"/>
  <c r="F712" i="1"/>
  <c r="F712" i="1" a="1"/>
  <c r="G711" i="1"/>
  <c r="F711" i="1"/>
  <c r="F711" i="1" a="1"/>
  <c r="G710" i="1"/>
  <c r="F710" i="1"/>
  <c r="F710" i="1" a="1"/>
  <c r="G709" i="1"/>
  <c r="F709" i="1"/>
  <c r="F709" i="1" a="1"/>
  <c r="G708" i="1"/>
  <c r="F708" i="1"/>
  <c r="F708" i="1" a="1"/>
  <c r="G707" i="1"/>
  <c r="F707" i="1"/>
  <c r="F707" i="1" a="1"/>
  <c r="G706" i="1"/>
  <c r="F706" i="1"/>
  <c r="F706" i="1" a="1"/>
  <c r="G705" i="1"/>
  <c r="F705" i="1"/>
  <c r="F705" i="1" a="1"/>
  <c r="G704" i="1"/>
  <c r="F704" i="1"/>
  <c r="F704" i="1" a="1"/>
  <c r="G703" i="1"/>
  <c r="F703" i="1"/>
  <c r="F703" i="1" a="1"/>
  <c r="G702" i="1"/>
  <c r="F702" i="1"/>
  <c r="F702" i="1" a="1"/>
  <c r="G701" i="1"/>
  <c r="F701" i="1"/>
  <c r="F701" i="1" a="1"/>
  <c r="G700" i="1"/>
  <c r="F700" i="1"/>
  <c r="F700" i="1" a="1"/>
  <c r="G699" i="1"/>
  <c r="F699" i="1"/>
  <c r="F699" i="1" a="1"/>
  <c r="G698" i="1"/>
  <c r="F698" i="1"/>
  <c r="F698" i="1" a="1"/>
  <c r="G697" i="1"/>
  <c r="F697" i="1"/>
  <c r="F697" i="1" a="1"/>
  <c r="G696" i="1"/>
  <c r="F696" i="1"/>
  <c r="F696" i="1" a="1"/>
  <c r="G695" i="1"/>
  <c r="F695" i="1"/>
  <c r="F695" i="1" a="1"/>
  <c r="G694" i="1"/>
  <c r="F694" i="1"/>
  <c r="F694" i="1" a="1"/>
  <c r="G693" i="1"/>
  <c r="F693" i="1"/>
  <c r="F693" i="1" a="1"/>
  <c r="G692" i="1"/>
  <c r="F692" i="1"/>
  <c r="F692" i="1" a="1"/>
  <c r="G691" i="1"/>
  <c r="F691" i="1"/>
  <c r="F691" i="1" a="1"/>
  <c r="G690" i="1"/>
  <c r="F690" i="1"/>
  <c r="F690" i="1" a="1"/>
  <c r="G689" i="1"/>
  <c r="F689" i="1"/>
  <c r="F689" i="1" a="1"/>
  <c r="G688" i="1"/>
  <c r="F688" i="1"/>
  <c r="F688" i="1" a="1"/>
  <c r="G687" i="1"/>
  <c r="F687" i="1"/>
  <c r="F687" i="1" a="1"/>
  <c r="G686" i="1"/>
  <c r="F686" i="1"/>
  <c r="F686" i="1" a="1"/>
  <c r="G685" i="1"/>
  <c r="F685" i="1"/>
  <c r="F685" i="1" a="1"/>
  <c r="G684" i="1"/>
  <c r="F684" i="1"/>
  <c r="F684" i="1" a="1"/>
  <c r="G683" i="1"/>
  <c r="F683" i="1"/>
  <c r="F683" i="1" a="1"/>
  <c r="G682" i="1"/>
  <c r="F682" i="1"/>
  <c r="F682" i="1" a="1"/>
  <c r="G681" i="1"/>
  <c r="F681" i="1"/>
  <c r="F681" i="1" a="1"/>
  <c r="G680" i="1"/>
  <c r="F680" i="1"/>
  <c r="F680" i="1" a="1"/>
  <c r="G679" i="1"/>
  <c r="F679" i="1"/>
  <c r="F679" i="1" a="1"/>
  <c r="G678" i="1"/>
  <c r="F678" i="1"/>
  <c r="F678" i="1" a="1"/>
  <c r="G677" i="1"/>
  <c r="F677" i="1"/>
  <c r="F677" i="1" a="1"/>
  <c r="G676" i="1"/>
  <c r="F676" i="1"/>
  <c r="F676" i="1" a="1"/>
  <c r="G675" i="1"/>
  <c r="F675" i="1"/>
  <c r="F675" i="1" a="1"/>
  <c r="G674" i="1"/>
  <c r="F674" i="1"/>
  <c r="F674" i="1" a="1"/>
  <c r="G673" i="1"/>
  <c r="F673" i="1"/>
  <c r="F673" i="1" a="1"/>
  <c r="G672" i="1"/>
  <c r="F672" i="1"/>
  <c r="F672" i="1" a="1"/>
  <c r="G671" i="1"/>
  <c r="F671" i="1"/>
  <c r="F671" i="1" a="1"/>
  <c r="G670" i="1"/>
  <c r="F670" i="1"/>
  <c r="F670" i="1" a="1"/>
  <c r="G669" i="1"/>
  <c r="F669" i="1"/>
  <c r="F669" i="1" a="1"/>
  <c r="G668" i="1"/>
  <c r="F668" i="1"/>
  <c r="F668" i="1" a="1"/>
  <c r="G667" i="1"/>
  <c r="F667" i="1"/>
  <c r="F667" i="1" a="1"/>
  <c r="G666" i="1"/>
  <c r="F666" i="1"/>
  <c r="F666" i="1" a="1"/>
  <c r="G665" i="1"/>
  <c r="F665" i="1"/>
  <c r="F665" i="1" a="1"/>
  <c r="G664" i="1"/>
  <c r="F664" i="1"/>
  <c r="F664" i="1" a="1"/>
  <c r="G663" i="1"/>
  <c r="F663" i="1"/>
  <c r="F663" i="1" a="1"/>
  <c r="G662" i="1"/>
  <c r="F662" i="1"/>
  <c r="F662" i="1" a="1"/>
  <c r="G661" i="1"/>
  <c r="F661" i="1"/>
  <c r="F661" i="1" a="1"/>
  <c r="G660" i="1"/>
  <c r="F660" i="1"/>
  <c r="F660" i="1" a="1"/>
  <c r="G659" i="1"/>
  <c r="F659" i="1"/>
  <c r="F659" i="1" a="1"/>
  <c r="G658" i="1"/>
  <c r="F658" i="1"/>
  <c r="F658" i="1" a="1"/>
  <c r="G657" i="1"/>
  <c r="F657" i="1"/>
  <c r="F657" i="1" a="1"/>
  <c r="G656" i="1"/>
  <c r="F656" i="1"/>
  <c r="F656" i="1" a="1"/>
  <c r="G655" i="1"/>
  <c r="F655" i="1"/>
  <c r="F655" i="1" a="1"/>
  <c r="G654" i="1"/>
  <c r="F654" i="1"/>
  <c r="F654" i="1" a="1"/>
  <c r="G653" i="1"/>
  <c r="F653" i="1"/>
  <c r="F653" i="1" a="1"/>
  <c r="G652" i="1"/>
  <c r="F652" i="1"/>
  <c r="F652" i="1" a="1"/>
  <c r="G651" i="1"/>
  <c r="F651" i="1"/>
  <c r="F651" i="1" a="1"/>
  <c r="G650" i="1"/>
  <c r="F650" i="1"/>
  <c r="F650" i="1" a="1"/>
  <c r="G649" i="1"/>
  <c r="F649" i="1"/>
  <c r="F649" i="1" a="1"/>
  <c r="G648" i="1"/>
  <c r="F648" i="1"/>
  <c r="F648" i="1" a="1"/>
  <c r="G647" i="1"/>
  <c r="F647" i="1"/>
  <c r="F647" i="1" a="1"/>
  <c r="G646" i="1"/>
  <c r="F646" i="1"/>
  <c r="F646" i="1" a="1"/>
  <c r="G645" i="1"/>
  <c r="F645" i="1"/>
  <c r="F645" i="1" a="1"/>
  <c r="G644" i="1"/>
  <c r="F644" i="1"/>
  <c r="F644" i="1" a="1"/>
  <c r="G643" i="1"/>
  <c r="F643" i="1"/>
  <c r="F643" i="1" a="1"/>
  <c r="G642" i="1"/>
  <c r="F642" i="1"/>
  <c r="F642" i="1" a="1"/>
  <c r="G641" i="1"/>
  <c r="F641" i="1"/>
  <c r="F641" i="1" a="1"/>
  <c r="G640" i="1"/>
  <c r="F640" i="1"/>
  <c r="F640" i="1" a="1"/>
  <c r="G639" i="1"/>
  <c r="F639" i="1"/>
  <c r="F639" i="1" a="1"/>
  <c r="G638" i="1"/>
  <c r="F638" i="1"/>
  <c r="F638" i="1" a="1"/>
  <c r="G637" i="1"/>
  <c r="F637" i="1"/>
  <c r="F637" i="1" a="1"/>
  <c r="G636" i="1"/>
  <c r="F636" i="1"/>
  <c r="F636" i="1" a="1"/>
  <c r="G635" i="1"/>
  <c r="F635" i="1"/>
  <c r="F635" i="1" a="1"/>
  <c r="G634" i="1"/>
  <c r="F634" i="1"/>
  <c r="F634" i="1" a="1"/>
  <c r="G633" i="1"/>
  <c r="F633" i="1"/>
  <c r="F633" i="1" a="1"/>
  <c r="G632" i="1"/>
  <c r="F632" i="1"/>
  <c r="F632" i="1" a="1"/>
  <c r="G631" i="1"/>
  <c r="F631" i="1"/>
  <c r="F631" i="1" a="1"/>
  <c r="G630" i="1"/>
  <c r="F630" i="1"/>
  <c r="F630" i="1" a="1"/>
  <c r="G629" i="1"/>
  <c r="F629" i="1"/>
  <c r="F629" i="1" a="1"/>
  <c r="G628" i="1"/>
  <c r="F628" i="1"/>
  <c r="F628" i="1" a="1"/>
  <c r="G627" i="1"/>
  <c r="F627" i="1"/>
  <c r="F627" i="1" a="1"/>
  <c r="G626" i="1"/>
  <c r="F626" i="1"/>
  <c r="F626" i="1" a="1"/>
  <c r="G625" i="1"/>
  <c r="F625" i="1"/>
  <c r="F625" i="1" a="1"/>
  <c r="G624" i="1"/>
  <c r="F624" i="1"/>
  <c r="F624" i="1" a="1"/>
  <c r="G623" i="1"/>
  <c r="F623" i="1"/>
  <c r="F623" i="1" a="1"/>
  <c r="G622" i="1"/>
  <c r="F622" i="1"/>
  <c r="F622" i="1" a="1"/>
  <c r="G621" i="1"/>
  <c r="F621" i="1"/>
  <c r="F621" i="1" a="1"/>
  <c r="G620" i="1"/>
  <c r="F620" i="1"/>
  <c r="F620" i="1" a="1"/>
  <c r="G619" i="1"/>
  <c r="F619" i="1"/>
  <c r="F619" i="1" a="1"/>
  <c r="G618" i="1"/>
  <c r="F618" i="1"/>
  <c r="F618" i="1" a="1"/>
  <c r="G617" i="1"/>
  <c r="F617" i="1"/>
  <c r="F617" i="1" a="1"/>
  <c r="G616" i="1"/>
  <c r="F616" i="1"/>
  <c r="F616" i="1" a="1"/>
  <c r="G615" i="1"/>
  <c r="F615" i="1"/>
  <c r="F615" i="1" a="1"/>
  <c r="G614" i="1"/>
  <c r="F614" i="1"/>
  <c r="F614" i="1" a="1"/>
  <c r="G613" i="1"/>
  <c r="F613" i="1"/>
  <c r="F613" i="1" a="1"/>
  <c r="G612" i="1"/>
  <c r="F612" i="1"/>
  <c r="F612" i="1" a="1"/>
  <c r="G611" i="1"/>
  <c r="F611" i="1"/>
  <c r="F611" i="1" a="1"/>
  <c r="G610" i="1"/>
  <c r="F610" i="1"/>
  <c r="F610" i="1" a="1"/>
  <c r="G609" i="1"/>
  <c r="F609" i="1"/>
  <c r="F609" i="1" a="1"/>
  <c r="G608" i="1"/>
  <c r="F608" i="1"/>
  <c r="F608" i="1" a="1"/>
  <c r="G607" i="1"/>
  <c r="F607" i="1"/>
  <c r="F607" i="1" a="1"/>
  <c r="G606" i="1"/>
  <c r="F606" i="1"/>
  <c r="F606" i="1" a="1"/>
  <c r="G605" i="1"/>
  <c r="F605" i="1"/>
  <c r="F605" i="1" a="1"/>
  <c r="G604" i="1"/>
  <c r="F604" i="1"/>
  <c r="F604" i="1" a="1"/>
  <c r="G603" i="1"/>
  <c r="F603" i="1"/>
  <c r="F603" i="1" a="1"/>
  <c r="G602" i="1"/>
  <c r="F602" i="1"/>
  <c r="F602" i="1" a="1"/>
  <c r="G601" i="1"/>
  <c r="F601" i="1"/>
  <c r="F601" i="1" a="1"/>
  <c r="G600" i="1"/>
  <c r="F600" i="1"/>
  <c r="F600" i="1" a="1"/>
  <c r="G599" i="1"/>
  <c r="F599" i="1"/>
  <c r="F599" i="1" a="1"/>
  <c r="G598" i="1"/>
  <c r="F598" i="1"/>
  <c r="F598" i="1" a="1"/>
  <c r="G597" i="1"/>
  <c r="F597" i="1"/>
  <c r="F597" i="1" a="1"/>
  <c r="G596" i="1"/>
  <c r="F596" i="1"/>
  <c r="F596" i="1" a="1"/>
  <c r="G595" i="1"/>
  <c r="F595" i="1"/>
  <c r="F595" i="1" a="1"/>
  <c r="G594" i="1"/>
  <c r="F594" i="1"/>
  <c r="F594" i="1" a="1"/>
  <c r="G593" i="1"/>
  <c r="F593" i="1"/>
  <c r="F593" i="1" a="1"/>
  <c r="G592" i="1"/>
  <c r="F592" i="1"/>
  <c r="F592" i="1" a="1"/>
  <c r="G591" i="1"/>
  <c r="F591" i="1"/>
  <c r="F591" i="1" a="1"/>
  <c r="G590" i="1"/>
  <c r="F590" i="1"/>
  <c r="F590" i="1" a="1"/>
  <c r="G589" i="1"/>
  <c r="F589" i="1"/>
  <c r="F589" i="1" a="1"/>
  <c r="G588" i="1"/>
  <c r="F588" i="1"/>
  <c r="F588" i="1" a="1"/>
  <c r="G587" i="1"/>
  <c r="F587" i="1"/>
  <c r="F587" i="1" a="1"/>
  <c r="G586" i="1"/>
  <c r="F586" i="1"/>
  <c r="F586" i="1" a="1"/>
  <c r="G585" i="1"/>
  <c r="F585" i="1"/>
  <c r="F585" i="1" a="1"/>
  <c r="G584" i="1"/>
  <c r="F584" i="1"/>
  <c r="F584" i="1" a="1"/>
  <c r="G583" i="1"/>
  <c r="F583" i="1"/>
  <c r="F583" i="1" a="1"/>
  <c r="G582" i="1"/>
  <c r="F582" i="1"/>
  <c r="F582" i="1" a="1"/>
  <c r="G581" i="1"/>
  <c r="F581" i="1"/>
  <c r="F581" i="1" a="1"/>
  <c r="G580" i="1"/>
  <c r="F580" i="1"/>
  <c r="F580" i="1" a="1"/>
  <c r="G579" i="1"/>
  <c r="F579" i="1"/>
  <c r="F579" i="1" a="1"/>
  <c r="G578" i="1"/>
  <c r="F578" i="1"/>
  <c r="F578" i="1" a="1"/>
  <c r="G577" i="1"/>
  <c r="F577" i="1"/>
  <c r="F577" i="1" a="1"/>
  <c r="G576" i="1"/>
  <c r="F576" i="1"/>
  <c r="F576" i="1" a="1"/>
  <c r="G575" i="1"/>
  <c r="F575" i="1"/>
  <c r="F575" i="1" a="1"/>
  <c r="G574" i="1"/>
  <c r="F574" i="1"/>
  <c r="F574" i="1" a="1"/>
  <c r="G573" i="1"/>
  <c r="F573" i="1"/>
  <c r="F573" i="1" a="1"/>
  <c r="G572" i="1"/>
  <c r="F572" i="1"/>
  <c r="F572" i="1" a="1"/>
  <c r="G571" i="1"/>
  <c r="F571" i="1"/>
  <c r="F571" i="1" a="1"/>
  <c r="G570" i="1"/>
  <c r="F570" i="1"/>
  <c r="F570" i="1" a="1"/>
  <c r="G569" i="1"/>
  <c r="F569" i="1"/>
  <c r="F569" i="1" a="1"/>
  <c r="G568" i="1"/>
  <c r="F568" i="1"/>
  <c r="F568" i="1" a="1"/>
  <c r="G567" i="1"/>
  <c r="F567" i="1"/>
  <c r="F567" i="1" a="1"/>
  <c r="G566" i="1"/>
  <c r="F566" i="1"/>
  <c r="F566" i="1" a="1"/>
  <c r="G565" i="1"/>
  <c r="F565" i="1"/>
  <c r="F565" i="1" a="1"/>
  <c r="G564" i="1"/>
  <c r="F564" i="1"/>
  <c r="F564" i="1" a="1"/>
  <c r="G563" i="1"/>
  <c r="F563" i="1"/>
  <c r="F563" i="1" a="1"/>
  <c r="G562" i="1"/>
  <c r="F562" i="1"/>
  <c r="F562" i="1" a="1"/>
  <c r="G561" i="1"/>
  <c r="F561" i="1"/>
  <c r="F561" i="1" a="1"/>
  <c r="G560" i="1"/>
  <c r="F560" i="1"/>
  <c r="F560" i="1" a="1"/>
  <c r="G559" i="1"/>
  <c r="F559" i="1"/>
  <c r="F559" i="1" a="1"/>
  <c r="G558" i="1"/>
  <c r="F558" i="1"/>
  <c r="F558" i="1" a="1"/>
  <c r="G557" i="1"/>
  <c r="F557" i="1"/>
  <c r="F557" i="1" a="1"/>
  <c r="G556" i="1"/>
  <c r="F556" i="1"/>
  <c r="F556" i="1" a="1"/>
  <c r="G555" i="1"/>
  <c r="F555" i="1"/>
  <c r="F555" i="1" a="1"/>
  <c r="G554" i="1"/>
  <c r="F554" i="1"/>
  <c r="F554" i="1" a="1"/>
  <c r="G553" i="1"/>
  <c r="F553" i="1"/>
  <c r="F553" i="1" a="1"/>
  <c r="G552" i="1"/>
  <c r="F552" i="1"/>
  <c r="F552" i="1" a="1"/>
  <c r="G551" i="1"/>
  <c r="F551" i="1"/>
  <c r="F551" i="1" a="1"/>
  <c r="G550" i="1"/>
  <c r="F550" i="1"/>
  <c r="F550" i="1" a="1"/>
  <c r="G549" i="1"/>
  <c r="F549" i="1"/>
  <c r="F549" i="1" a="1"/>
  <c r="G548" i="1"/>
  <c r="F548" i="1"/>
  <c r="F548" i="1" a="1"/>
  <c r="G547" i="1"/>
  <c r="F547" i="1"/>
  <c r="F547" i="1" a="1"/>
  <c r="G546" i="1"/>
  <c r="F546" i="1"/>
  <c r="F546" i="1" a="1"/>
  <c r="G545" i="1"/>
  <c r="F545" i="1"/>
  <c r="F545" i="1" a="1"/>
  <c r="G544" i="1"/>
  <c r="F544" i="1"/>
  <c r="F544" i="1" a="1"/>
  <c r="G543" i="1"/>
  <c r="F543" i="1"/>
  <c r="F543" i="1" a="1"/>
  <c r="G542" i="1"/>
  <c r="F542" i="1"/>
  <c r="F542" i="1" a="1"/>
  <c r="G541" i="1"/>
  <c r="F541" i="1"/>
  <c r="F541" i="1" a="1"/>
  <c r="G540" i="1"/>
  <c r="F540" i="1"/>
  <c r="F540" i="1" a="1"/>
  <c r="G539" i="1"/>
  <c r="F539" i="1"/>
  <c r="F539" i="1" a="1"/>
  <c r="G538" i="1"/>
  <c r="F538" i="1"/>
  <c r="F538" i="1" a="1"/>
  <c r="G537" i="1"/>
  <c r="F537" i="1"/>
  <c r="F537" i="1" a="1"/>
  <c r="G536" i="1"/>
  <c r="F536" i="1"/>
  <c r="F536" i="1" a="1"/>
  <c r="G535" i="1"/>
  <c r="F535" i="1"/>
  <c r="F535" i="1" a="1"/>
  <c r="G534" i="1"/>
  <c r="F534" i="1"/>
  <c r="F534" i="1" a="1"/>
  <c r="G533" i="1"/>
  <c r="F533" i="1"/>
  <c r="F533" i="1" a="1"/>
  <c r="G532" i="1"/>
  <c r="F532" i="1"/>
  <c r="F532" i="1" a="1"/>
  <c r="G531" i="1"/>
  <c r="F531" i="1"/>
  <c r="F531" i="1" a="1"/>
  <c r="G530" i="1"/>
  <c r="F530" i="1"/>
  <c r="F530" i="1" a="1"/>
  <c r="G529" i="1"/>
  <c r="F529" i="1"/>
  <c r="F529" i="1" a="1"/>
  <c r="G528" i="1"/>
  <c r="F528" i="1"/>
  <c r="F528" i="1" a="1"/>
  <c r="G527" i="1"/>
  <c r="F527" i="1"/>
  <c r="F527" i="1" a="1"/>
  <c r="G526" i="1"/>
  <c r="F526" i="1"/>
  <c r="F526" i="1" a="1"/>
  <c r="G525" i="1"/>
  <c r="F525" i="1"/>
  <c r="F525" i="1" a="1"/>
  <c r="G524" i="1"/>
  <c r="F524" i="1"/>
  <c r="F524" i="1" a="1"/>
  <c r="G523" i="1"/>
  <c r="F523" i="1"/>
  <c r="F523" i="1" a="1"/>
  <c r="G522" i="1"/>
  <c r="F522" i="1"/>
  <c r="F522" i="1" a="1"/>
  <c r="G521" i="1"/>
  <c r="F521" i="1"/>
  <c r="F521" i="1" a="1"/>
  <c r="G520" i="1"/>
  <c r="F520" i="1"/>
  <c r="F520" i="1" a="1"/>
  <c r="G519" i="1"/>
  <c r="F519" i="1"/>
  <c r="F519" i="1" a="1"/>
  <c r="G518" i="1"/>
  <c r="F518" i="1"/>
  <c r="F518" i="1" a="1"/>
  <c r="G517" i="1"/>
  <c r="F517" i="1"/>
  <c r="F517" i="1" a="1"/>
  <c r="G516" i="1"/>
  <c r="F516" i="1"/>
  <c r="F516" i="1" a="1"/>
  <c r="G515" i="1"/>
  <c r="F515" i="1"/>
  <c r="F515" i="1" a="1"/>
  <c r="G514" i="1"/>
  <c r="F514" i="1"/>
  <c r="F514" i="1" a="1"/>
  <c r="G513" i="1"/>
  <c r="F513" i="1"/>
  <c r="F513" i="1" a="1"/>
  <c r="G512" i="1"/>
  <c r="F512" i="1"/>
  <c r="F512" i="1" a="1"/>
  <c r="G511" i="1"/>
  <c r="F511" i="1"/>
  <c r="F511" i="1" a="1"/>
  <c r="G510" i="1"/>
  <c r="F510" i="1"/>
  <c r="F510" i="1" a="1"/>
  <c r="G509" i="1"/>
  <c r="F509" i="1"/>
  <c r="F509" i="1" a="1"/>
  <c r="G508" i="1"/>
  <c r="F508" i="1"/>
  <c r="F508" i="1" a="1"/>
  <c r="G507" i="1"/>
  <c r="F507" i="1"/>
  <c r="F507" i="1" a="1"/>
  <c r="G506" i="1"/>
  <c r="F506" i="1"/>
  <c r="F506" i="1" a="1"/>
  <c r="G505" i="1"/>
  <c r="F505" i="1"/>
  <c r="F505" i="1" a="1"/>
  <c r="G504" i="1"/>
  <c r="F504" i="1"/>
  <c r="F504" i="1" a="1"/>
  <c r="G503" i="1"/>
  <c r="F503" i="1"/>
  <c r="F503" i="1" a="1"/>
  <c r="G502" i="1"/>
  <c r="F502" i="1"/>
  <c r="F502" i="1" a="1"/>
  <c r="G501" i="1"/>
  <c r="F501" i="1"/>
  <c r="F501" i="1" a="1"/>
  <c r="G500" i="1"/>
  <c r="F500" i="1"/>
  <c r="F500" i="1" a="1"/>
  <c r="G499" i="1"/>
  <c r="F499" i="1"/>
  <c r="F499" i="1" a="1"/>
  <c r="G498" i="1"/>
  <c r="F498" i="1"/>
  <c r="F498" i="1" a="1"/>
  <c r="G497" i="1"/>
  <c r="F497" i="1"/>
  <c r="F497" i="1" a="1"/>
  <c r="G496" i="1"/>
  <c r="F496" i="1"/>
  <c r="F496" i="1" a="1"/>
  <c r="G495" i="1"/>
  <c r="F495" i="1"/>
  <c r="F495" i="1" a="1"/>
  <c r="G494" i="1"/>
  <c r="F494" i="1"/>
  <c r="F494" i="1" a="1"/>
  <c r="G493" i="1"/>
  <c r="F493" i="1"/>
  <c r="F493" i="1" a="1"/>
  <c r="G492" i="1"/>
  <c r="F492" i="1"/>
  <c r="F492" i="1" a="1"/>
  <c r="G491" i="1"/>
  <c r="F491" i="1"/>
  <c r="F491" i="1" a="1"/>
  <c r="G490" i="1"/>
  <c r="F490" i="1"/>
  <c r="F490" i="1" a="1"/>
  <c r="G489" i="1"/>
  <c r="F489" i="1"/>
  <c r="F489" i="1" a="1"/>
  <c r="G488" i="1"/>
  <c r="F488" i="1"/>
  <c r="F488" i="1" a="1"/>
  <c r="G487" i="1"/>
  <c r="F487" i="1"/>
  <c r="F487" i="1" a="1"/>
  <c r="G486" i="1"/>
  <c r="F486" i="1"/>
  <c r="F486" i="1" a="1"/>
  <c r="G485" i="1"/>
  <c r="F485" i="1"/>
  <c r="F485" i="1" a="1"/>
  <c r="G484" i="1"/>
  <c r="F484" i="1"/>
  <c r="F484" i="1" a="1"/>
  <c r="G483" i="1"/>
  <c r="F483" i="1"/>
  <c r="F483" i="1" a="1"/>
  <c r="G482" i="1"/>
  <c r="F482" i="1"/>
  <c r="F482" i="1" a="1"/>
  <c r="G481" i="1"/>
  <c r="F481" i="1"/>
  <c r="F481" i="1" a="1"/>
  <c r="G480" i="1"/>
  <c r="F480" i="1"/>
  <c r="F480" i="1" a="1"/>
  <c r="G479" i="1"/>
  <c r="F479" i="1"/>
  <c r="F479" i="1" a="1"/>
  <c r="G478" i="1"/>
  <c r="F478" i="1"/>
  <c r="F478" i="1" a="1"/>
  <c r="G477" i="1"/>
  <c r="F477" i="1"/>
  <c r="F477" i="1" a="1"/>
  <c r="G476" i="1"/>
  <c r="F476" i="1"/>
  <c r="F476" i="1" a="1"/>
  <c r="G475" i="1"/>
  <c r="F475" i="1"/>
  <c r="F475" i="1" a="1"/>
  <c r="G474" i="1"/>
  <c r="F474" i="1"/>
  <c r="F474" i="1" a="1"/>
  <c r="G473" i="1"/>
  <c r="F473" i="1"/>
  <c r="F473" i="1" a="1"/>
  <c r="G472" i="1"/>
  <c r="F472" i="1"/>
  <c r="F472" i="1" a="1"/>
  <c r="G471" i="1"/>
  <c r="F471" i="1"/>
  <c r="F471" i="1" a="1"/>
  <c r="G470" i="1"/>
  <c r="F470" i="1"/>
  <c r="F470" i="1" a="1"/>
  <c r="G469" i="1"/>
  <c r="F469" i="1"/>
  <c r="F469" i="1" a="1"/>
  <c r="G468" i="1"/>
  <c r="F468" i="1"/>
  <c r="F468" i="1" a="1"/>
  <c r="G467" i="1"/>
  <c r="F467" i="1"/>
  <c r="F467" i="1" a="1"/>
  <c r="G466" i="1"/>
  <c r="F466" i="1"/>
  <c r="F466" i="1" a="1"/>
  <c r="G465" i="1"/>
  <c r="F465" i="1"/>
  <c r="F465" i="1" a="1"/>
  <c r="G464" i="1"/>
  <c r="F464" i="1"/>
  <c r="F464" i="1" a="1"/>
  <c r="G463" i="1"/>
  <c r="F463" i="1"/>
  <c r="F463" i="1" a="1"/>
  <c r="G462" i="1"/>
  <c r="F462" i="1"/>
  <c r="F462" i="1" a="1"/>
  <c r="G461" i="1"/>
  <c r="F461" i="1"/>
  <c r="F461" i="1" a="1"/>
  <c r="G460" i="1"/>
  <c r="F460" i="1"/>
  <c r="F460" i="1" a="1"/>
  <c r="G459" i="1"/>
  <c r="F459" i="1"/>
  <c r="F459" i="1" a="1"/>
  <c r="G458" i="1"/>
  <c r="F458" i="1"/>
  <c r="F458" i="1" a="1"/>
  <c r="G457" i="1"/>
  <c r="F457" i="1"/>
  <c r="F457" i="1" a="1"/>
  <c r="G456" i="1"/>
  <c r="F456" i="1"/>
  <c r="F456" i="1" a="1"/>
  <c r="G455" i="1"/>
  <c r="F455" i="1"/>
  <c r="F455" i="1" a="1"/>
  <c r="G454" i="1"/>
  <c r="F454" i="1"/>
  <c r="F454" i="1" a="1"/>
  <c r="G453" i="1"/>
  <c r="F453" i="1"/>
  <c r="F453" i="1" a="1"/>
  <c r="G452" i="1"/>
  <c r="F452" i="1"/>
  <c r="F452" i="1" a="1"/>
  <c r="G451" i="1"/>
  <c r="F451" i="1"/>
  <c r="F451" i="1" a="1"/>
  <c r="G450" i="1"/>
  <c r="F450" i="1"/>
  <c r="F450" i="1" a="1"/>
  <c r="G449" i="1"/>
  <c r="F449" i="1"/>
  <c r="F449" i="1" a="1"/>
  <c r="G448" i="1"/>
  <c r="F448" i="1"/>
  <c r="F448" i="1" a="1"/>
  <c r="G447" i="1"/>
  <c r="F447" i="1"/>
  <c r="F447" i="1" a="1"/>
  <c r="G446" i="1"/>
  <c r="F446" i="1"/>
  <c r="F446" i="1" a="1"/>
  <c r="G445" i="1"/>
  <c r="F445" i="1"/>
  <c r="F445" i="1" a="1"/>
  <c r="G444" i="1"/>
  <c r="F444" i="1"/>
  <c r="F444" i="1" a="1"/>
  <c r="G443" i="1"/>
  <c r="F443" i="1"/>
  <c r="F443" i="1" a="1"/>
  <c r="G442" i="1"/>
  <c r="F442" i="1"/>
  <c r="F442" i="1" a="1"/>
  <c r="G441" i="1"/>
  <c r="F441" i="1"/>
  <c r="F441" i="1" a="1"/>
  <c r="G440" i="1"/>
  <c r="F440" i="1"/>
  <c r="F440" i="1" a="1"/>
  <c r="G439" i="1"/>
  <c r="F439" i="1"/>
  <c r="F439" i="1" a="1"/>
  <c r="G438" i="1"/>
  <c r="F438" i="1"/>
  <c r="F438" i="1" a="1"/>
  <c r="G437" i="1"/>
  <c r="F437" i="1"/>
  <c r="F437" i="1" a="1"/>
  <c r="G436" i="1"/>
  <c r="F436" i="1"/>
  <c r="F436" i="1" a="1"/>
  <c r="G435" i="1"/>
  <c r="F435" i="1"/>
  <c r="F435" i="1" a="1"/>
  <c r="G434" i="1"/>
  <c r="F434" i="1"/>
  <c r="F434" i="1" a="1"/>
  <c r="G433" i="1"/>
  <c r="F433" i="1"/>
  <c r="F433" i="1" a="1"/>
  <c r="G432" i="1"/>
  <c r="F432" i="1"/>
  <c r="F432" i="1" a="1"/>
  <c r="G431" i="1"/>
  <c r="F431" i="1"/>
  <c r="F431" i="1" a="1"/>
  <c r="G430" i="1"/>
  <c r="F430" i="1"/>
  <c r="F430" i="1" a="1"/>
  <c r="G429" i="1"/>
  <c r="F429" i="1"/>
  <c r="F429" i="1" a="1"/>
  <c r="G428" i="1"/>
  <c r="F428" i="1"/>
  <c r="F428" i="1" a="1"/>
  <c r="G427" i="1"/>
  <c r="F427" i="1"/>
  <c r="F427" i="1" a="1"/>
  <c r="G426" i="1"/>
  <c r="F426" i="1"/>
  <c r="F426" i="1" a="1"/>
  <c r="G425" i="1"/>
  <c r="F425" i="1"/>
  <c r="F425" i="1" a="1"/>
  <c r="G424" i="1"/>
  <c r="F424" i="1"/>
  <c r="F424" i="1" a="1"/>
  <c r="G423" i="1"/>
  <c r="F423" i="1"/>
  <c r="F423" i="1" a="1"/>
  <c r="G422" i="1"/>
  <c r="F422" i="1"/>
  <c r="F422" i="1" a="1"/>
  <c r="G421" i="1"/>
  <c r="F421" i="1"/>
  <c r="F421" i="1" a="1"/>
  <c r="G420" i="1"/>
  <c r="F420" i="1"/>
  <c r="F420" i="1" a="1"/>
  <c r="G419" i="1"/>
  <c r="F419" i="1"/>
  <c r="F419" i="1" a="1"/>
  <c r="G418" i="1"/>
  <c r="F418" i="1"/>
  <c r="F418" i="1" a="1"/>
  <c r="G417" i="1"/>
  <c r="F417" i="1"/>
  <c r="F417" i="1" a="1"/>
  <c r="G416" i="1"/>
  <c r="F416" i="1"/>
  <c r="F416" i="1" a="1"/>
  <c r="G415" i="1"/>
  <c r="F415" i="1"/>
  <c r="F415" i="1" a="1"/>
  <c r="G414" i="1"/>
  <c r="F414" i="1"/>
  <c r="F414" i="1" a="1"/>
  <c r="G413" i="1"/>
  <c r="F413" i="1"/>
  <c r="F413" i="1" a="1"/>
  <c r="G412" i="1"/>
  <c r="F412" i="1"/>
  <c r="F412" i="1" a="1"/>
  <c r="G411" i="1"/>
  <c r="F411" i="1"/>
  <c r="F411" i="1" a="1"/>
  <c r="G410" i="1"/>
  <c r="F410" i="1"/>
  <c r="F410" i="1" a="1"/>
  <c r="G409" i="1"/>
  <c r="F409" i="1"/>
  <c r="F409" i="1" a="1"/>
  <c r="G408" i="1"/>
  <c r="F408" i="1"/>
  <c r="F408" i="1" a="1"/>
  <c r="G407" i="1"/>
  <c r="F407" i="1"/>
  <c r="F407" i="1" a="1"/>
  <c r="G406" i="1"/>
  <c r="F406" i="1"/>
  <c r="F406" i="1" a="1"/>
  <c r="G405" i="1"/>
  <c r="F405" i="1"/>
  <c r="F405" i="1" a="1"/>
  <c r="G404" i="1"/>
  <c r="F404" i="1"/>
  <c r="F404" i="1" a="1"/>
  <c r="G403" i="1"/>
  <c r="F403" i="1"/>
  <c r="F403" i="1" a="1"/>
  <c r="G402" i="1"/>
  <c r="F402" i="1"/>
  <c r="F402" i="1" a="1"/>
  <c r="G401" i="1"/>
  <c r="F401" i="1"/>
  <c r="F401" i="1" a="1"/>
  <c r="G400" i="1"/>
  <c r="F400" i="1"/>
  <c r="F400" i="1" a="1"/>
  <c r="G399" i="1"/>
  <c r="F399" i="1"/>
  <c r="F399" i="1" a="1"/>
  <c r="G398" i="1"/>
  <c r="F398" i="1"/>
  <c r="F398" i="1" a="1"/>
  <c r="G397" i="1"/>
  <c r="F397" i="1"/>
  <c r="F397" i="1" a="1"/>
  <c r="G396" i="1"/>
  <c r="F396" i="1"/>
  <c r="F396" i="1" a="1"/>
  <c r="G395" i="1"/>
  <c r="F395" i="1"/>
  <c r="F395" i="1" a="1"/>
  <c r="G394" i="1"/>
  <c r="F394" i="1"/>
  <c r="F394" i="1" a="1"/>
  <c r="G393" i="1"/>
  <c r="F393" i="1"/>
  <c r="F393" i="1" a="1"/>
  <c r="G392" i="1"/>
  <c r="F392" i="1"/>
  <c r="F392" i="1" a="1"/>
  <c r="G391" i="1"/>
  <c r="F391" i="1"/>
  <c r="F391" i="1" a="1"/>
  <c r="G390" i="1"/>
  <c r="F390" i="1"/>
  <c r="F390" i="1" a="1"/>
  <c r="G389" i="1"/>
  <c r="F389" i="1"/>
  <c r="F389" i="1" a="1"/>
  <c r="G388" i="1"/>
  <c r="F388" i="1"/>
  <c r="F388" i="1" a="1"/>
  <c r="G387" i="1"/>
  <c r="F387" i="1"/>
  <c r="F387" i="1" a="1"/>
  <c r="G386" i="1"/>
  <c r="F386" i="1"/>
  <c r="F386" i="1" a="1"/>
  <c r="G385" i="1"/>
  <c r="F385" i="1"/>
  <c r="F385" i="1" a="1"/>
  <c r="G384" i="1"/>
  <c r="F384" i="1"/>
  <c r="F384" i="1" a="1"/>
  <c r="G383" i="1"/>
  <c r="F383" i="1"/>
  <c r="F383" i="1" a="1"/>
  <c r="G382" i="1"/>
  <c r="F382" i="1"/>
  <c r="F382" i="1" a="1"/>
  <c r="G381" i="1"/>
  <c r="F381" i="1"/>
  <c r="F381" i="1" a="1"/>
  <c r="G380" i="1"/>
  <c r="F380" i="1"/>
  <c r="F380" i="1" a="1"/>
  <c r="G379" i="1"/>
  <c r="F379" i="1"/>
  <c r="F379" i="1" a="1"/>
  <c r="G378" i="1"/>
  <c r="F378" i="1"/>
  <c r="F378" i="1" a="1"/>
  <c r="G377" i="1"/>
  <c r="F377" i="1"/>
  <c r="F377" i="1" a="1"/>
  <c r="G376" i="1"/>
  <c r="F376" i="1"/>
  <c r="F376" i="1" a="1"/>
  <c r="G375" i="1"/>
  <c r="F375" i="1"/>
  <c r="F375" i="1" a="1"/>
  <c r="G374" i="1"/>
  <c r="F374" i="1"/>
  <c r="F374" i="1" a="1"/>
  <c r="G373" i="1"/>
  <c r="F373" i="1"/>
  <c r="F373" i="1" a="1"/>
  <c r="G372" i="1"/>
  <c r="F372" i="1"/>
  <c r="F372" i="1" a="1"/>
  <c r="G371" i="1"/>
  <c r="F371" i="1"/>
  <c r="F371" i="1" a="1"/>
  <c r="G370" i="1"/>
  <c r="F370" i="1"/>
  <c r="F370" i="1" a="1"/>
  <c r="G369" i="1"/>
  <c r="F369" i="1"/>
  <c r="F369" i="1" a="1"/>
  <c r="G368" i="1"/>
  <c r="F368" i="1"/>
  <c r="F368" i="1" a="1"/>
  <c r="G367" i="1"/>
  <c r="F367" i="1"/>
  <c r="F367" i="1" a="1"/>
  <c r="G366" i="1"/>
  <c r="F366" i="1"/>
  <c r="F366" i="1" a="1"/>
  <c r="G365" i="1"/>
  <c r="F365" i="1"/>
  <c r="F365" i="1" a="1"/>
  <c r="G364" i="1"/>
  <c r="F364" i="1"/>
  <c r="F364" i="1" a="1"/>
  <c r="G363" i="1"/>
  <c r="F363" i="1"/>
  <c r="F363" i="1" a="1"/>
  <c r="G362" i="1"/>
  <c r="F362" i="1"/>
  <c r="F362" i="1" a="1"/>
  <c r="G361" i="1"/>
  <c r="F361" i="1"/>
  <c r="F361" i="1" a="1"/>
  <c r="G360" i="1"/>
  <c r="F360" i="1"/>
  <c r="F360" i="1" a="1"/>
  <c r="G359" i="1"/>
  <c r="F359" i="1"/>
  <c r="F359" i="1" a="1"/>
  <c r="G358" i="1"/>
  <c r="F358" i="1"/>
  <c r="F358" i="1" a="1"/>
  <c r="G357" i="1"/>
  <c r="F357" i="1"/>
  <c r="F357" i="1" a="1"/>
  <c r="G356" i="1"/>
  <c r="F356" i="1"/>
  <c r="F356" i="1" a="1"/>
  <c r="G355" i="1"/>
  <c r="F355" i="1"/>
  <c r="F355" i="1" a="1"/>
  <c r="G354" i="1"/>
  <c r="F354" i="1"/>
  <c r="F354" i="1" a="1"/>
  <c r="G353" i="1"/>
  <c r="F353" i="1"/>
  <c r="F353" i="1" a="1"/>
  <c r="G352" i="1"/>
  <c r="F352" i="1"/>
  <c r="F352" i="1" a="1"/>
  <c r="G351" i="1"/>
  <c r="F351" i="1"/>
  <c r="F351" i="1" a="1"/>
  <c r="G350" i="1"/>
  <c r="F350" i="1"/>
  <c r="F350" i="1" a="1"/>
  <c r="G349" i="1"/>
  <c r="F349" i="1"/>
  <c r="F349" i="1" a="1"/>
  <c r="G348" i="1"/>
  <c r="F348" i="1"/>
  <c r="F348" i="1" a="1"/>
  <c r="G347" i="1"/>
  <c r="F347" i="1"/>
  <c r="F347" i="1" a="1"/>
  <c r="G346" i="1"/>
  <c r="F346" i="1"/>
  <c r="F346" i="1" a="1"/>
  <c r="G345" i="1"/>
  <c r="F345" i="1"/>
  <c r="F345" i="1" a="1"/>
  <c r="G344" i="1"/>
  <c r="F344" i="1"/>
  <c r="F344" i="1" a="1"/>
  <c r="G343" i="1"/>
  <c r="F343" i="1"/>
  <c r="F343" i="1" a="1"/>
  <c r="G342" i="1"/>
  <c r="F342" i="1"/>
  <c r="F342" i="1" a="1"/>
  <c r="G341" i="1"/>
  <c r="F341" i="1"/>
  <c r="F341" i="1" a="1"/>
  <c r="G340" i="1"/>
  <c r="F340" i="1"/>
  <c r="F340" i="1" a="1"/>
  <c r="G339" i="1"/>
  <c r="F339" i="1"/>
  <c r="F339" i="1" a="1"/>
  <c r="G338" i="1"/>
  <c r="F338" i="1"/>
  <c r="F338" i="1" a="1"/>
  <c r="G337" i="1"/>
  <c r="F337" i="1"/>
  <c r="F337" i="1" a="1"/>
  <c r="G336" i="1"/>
  <c r="F336" i="1"/>
  <c r="F336" i="1" a="1"/>
  <c r="G335" i="1"/>
  <c r="F335" i="1"/>
  <c r="F335" i="1" a="1"/>
  <c r="G334" i="1"/>
  <c r="F334" i="1"/>
  <c r="F334" i="1" a="1"/>
  <c r="G333" i="1"/>
  <c r="F333" i="1"/>
  <c r="F333" i="1" a="1"/>
  <c r="G332" i="1"/>
  <c r="F332" i="1"/>
  <c r="F332" i="1" a="1"/>
  <c r="G331" i="1"/>
  <c r="F331" i="1"/>
  <c r="F331" i="1" a="1"/>
  <c r="G330" i="1"/>
  <c r="F330" i="1"/>
  <c r="F330" i="1" a="1"/>
  <c r="G329" i="1"/>
  <c r="F329" i="1"/>
  <c r="F329" i="1" a="1"/>
  <c r="G328" i="1"/>
  <c r="F328" i="1"/>
  <c r="F328" i="1" a="1"/>
  <c r="G327" i="1"/>
  <c r="F327" i="1"/>
  <c r="F327" i="1" a="1"/>
  <c r="G326" i="1"/>
  <c r="F326" i="1"/>
  <c r="F326" i="1" a="1"/>
  <c r="G325" i="1"/>
  <c r="F325" i="1"/>
  <c r="F325" i="1" a="1"/>
  <c r="G324" i="1"/>
  <c r="F324" i="1"/>
  <c r="F324" i="1" a="1"/>
  <c r="G323" i="1"/>
  <c r="F323" i="1"/>
  <c r="F323" i="1" a="1"/>
  <c r="G322" i="1"/>
  <c r="F322" i="1"/>
  <c r="F322" i="1" a="1"/>
  <c r="G321" i="1"/>
  <c r="F321" i="1"/>
  <c r="F321" i="1" a="1"/>
  <c r="G320" i="1"/>
  <c r="F320" i="1"/>
  <c r="F320" i="1" a="1"/>
  <c r="G319" i="1"/>
  <c r="F319" i="1"/>
  <c r="F319" i="1" a="1"/>
  <c r="G318" i="1"/>
  <c r="F318" i="1"/>
  <c r="F318" i="1" a="1"/>
  <c r="G317" i="1"/>
  <c r="F317" i="1"/>
  <c r="F317" i="1" a="1"/>
  <c r="G316" i="1"/>
  <c r="F316" i="1"/>
  <c r="F316" i="1" a="1"/>
  <c r="G315" i="1"/>
  <c r="F315" i="1"/>
  <c r="F315" i="1" a="1"/>
  <c r="G314" i="1"/>
  <c r="F314" i="1"/>
  <c r="F314" i="1" a="1"/>
  <c r="G313" i="1"/>
  <c r="F313" i="1"/>
  <c r="F313" i="1" a="1"/>
  <c r="G312" i="1"/>
  <c r="F312" i="1"/>
  <c r="F312" i="1" a="1"/>
  <c r="G311" i="1"/>
  <c r="F311" i="1"/>
  <c r="F311" i="1" a="1"/>
  <c r="G310" i="1"/>
  <c r="F310" i="1"/>
  <c r="F310" i="1" a="1"/>
  <c r="G309" i="1"/>
  <c r="F309" i="1"/>
  <c r="F309" i="1" a="1"/>
  <c r="G308" i="1"/>
  <c r="F308" i="1"/>
  <c r="F308" i="1" a="1"/>
  <c r="G307" i="1"/>
  <c r="F307" i="1"/>
  <c r="F307" i="1" a="1"/>
  <c r="G306" i="1"/>
  <c r="F306" i="1"/>
  <c r="F306" i="1" a="1"/>
  <c r="G305" i="1"/>
  <c r="F305" i="1"/>
  <c r="F305" i="1" a="1"/>
  <c r="G304" i="1"/>
  <c r="F304" i="1"/>
  <c r="F304" i="1" a="1"/>
  <c r="G303" i="1"/>
  <c r="F303" i="1"/>
  <c r="F303" i="1" a="1"/>
  <c r="G302" i="1"/>
  <c r="F302" i="1"/>
  <c r="F302" i="1" a="1"/>
  <c r="G301" i="1"/>
  <c r="F301" i="1"/>
  <c r="F301" i="1" a="1"/>
  <c r="G300" i="1"/>
  <c r="F300" i="1"/>
  <c r="F300" i="1" a="1"/>
  <c r="G299" i="1"/>
  <c r="F299" i="1"/>
  <c r="F299" i="1" a="1"/>
  <c r="G298" i="1"/>
  <c r="F298" i="1"/>
  <c r="F298" i="1" a="1"/>
  <c r="G297" i="1"/>
  <c r="F297" i="1"/>
  <c r="F297" i="1" a="1"/>
  <c r="G296" i="1"/>
  <c r="F296" i="1"/>
  <c r="F296" i="1" a="1"/>
  <c r="G295" i="1"/>
  <c r="F295" i="1"/>
  <c r="F295" i="1" a="1"/>
  <c r="G294" i="1"/>
  <c r="F294" i="1"/>
  <c r="F294" i="1" a="1"/>
  <c r="G293" i="1"/>
  <c r="F293" i="1"/>
  <c r="F293" i="1" a="1"/>
  <c r="G292" i="1"/>
  <c r="F292" i="1"/>
  <c r="F292" i="1" a="1"/>
  <c r="G291" i="1"/>
  <c r="F291" i="1"/>
  <c r="F291" i="1" a="1"/>
  <c r="G290" i="1"/>
  <c r="F290" i="1"/>
  <c r="F290" i="1" a="1"/>
  <c r="G289" i="1"/>
  <c r="F289" i="1"/>
  <c r="F289" i="1" a="1"/>
  <c r="G288" i="1"/>
  <c r="F288" i="1"/>
  <c r="F288" i="1" a="1"/>
  <c r="G287" i="1"/>
  <c r="F287" i="1"/>
  <c r="F287" i="1" a="1"/>
  <c r="G286" i="1"/>
  <c r="F286" i="1"/>
  <c r="F286" i="1" a="1"/>
  <c r="G285" i="1"/>
  <c r="F285" i="1"/>
  <c r="F285" i="1" a="1"/>
  <c r="G284" i="1"/>
  <c r="F284" i="1"/>
  <c r="F284" i="1" a="1"/>
  <c r="G283" i="1"/>
  <c r="F283" i="1"/>
  <c r="F283" i="1" a="1"/>
  <c r="G282" i="1"/>
  <c r="F282" i="1"/>
  <c r="F282" i="1" a="1"/>
  <c r="G281" i="1"/>
  <c r="F281" i="1"/>
  <c r="F281" i="1" a="1"/>
  <c r="G280" i="1"/>
  <c r="F280" i="1"/>
  <c r="F280" i="1" a="1"/>
  <c r="G279" i="1"/>
  <c r="F279" i="1"/>
  <c r="F279" i="1" a="1"/>
  <c r="G278" i="1"/>
  <c r="F278" i="1"/>
  <c r="F278" i="1" a="1"/>
  <c r="G277" i="1"/>
  <c r="F277" i="1"/>
  <c r="F277" i="1" a="1"/>
  <c r="G276" i="1"/>
  <c r="F276" i="1"/>
  <c r="F276" i="1" a="1"/>
  <c r="G275" i="1"/>
  <c r="F275" i="1"/>
  <c r="F275" i="1" a="1"/>
  <c r="G274" i="1"/>
  <c r="F274" i="1"/>
  <c r="F274" i="1" a="1"/>
  <c r="G273" i="1"/>
  <c r="F273" i="1"/>
  <c r="F273" i="1" a="1"/>
  <c r="G272" i="1"/>
  <c r="F272" i="1"/>
  <c r="F272" i="1" a="1"/>
  <c r="G271" i="1"/>
  <c r="F271" i="1"/>
  <c r="F271" i="1" a="1"/>
  <c r="G270" i="1"/>
  <c r="F270" i="1"/>
  <c r="F270" i="1" a="1"/>
  <c r="G269" i="1"/>
  <c r="F269" i="1"/>
  <c r="F269" i="1" a="1"/>
  <c r="G268" i="1"/>
  <c r="F268" i="1"/>
  <c r="F268" i="1" a="1"/>
  <c r="G267" i="1"/>
  <c r="F267" i="1"/>
  <c r="F267" i="1" a="1"/>
  <c r="G266" i="1"/>
  <c r="F266" i="1"/>
  <c r="F266" i="1" a="1"/>
  <c r="G265" i="1"/>
  <c r="F265" i="1"/>
  <c r="F265" i="1" a="1"/>
  <c r="G264" i="1"/>
  <c r="F264" i="1"/>
  <c r="F264" i="1" a="1"/>
  <c r="G263" i="1"/>
  <c r="F263" i="1"/>
  <c r="F263" i="1" a="1"/>
  <c r="G262" i="1"/>
  <c r="F262" i="1"/>
  <c r="F262" i="1" a="1"/>
  <c r="G261" i="1"/>
  <c r="F261" i="1"/>
  <c r="F261" i="1" a="1"/>
  <c r="G260" i="1"/>
  <c r="F260" i="1"/>
  <c r="F260" i="1" a="1"/>
  <c r="G259" i="1"/>
  <c r="F259" i="1"/>
  <c r="F259" i="1" a="1"/>
  <c r="G258" i="1"/>
  <c r="F258" i="1"/>
  <c r="F258" i="1" a="1"/>
  <c r="G257" i="1"/>
  <c r="F257" i="1"/>
  <c r="F257" i="1" a="1"/>
  <c r="G256" i="1"/>
  <c r="F256" i="1"/>
  <c r="F256" i="1" a="1"/>
  <c r="G255" i="1"/>
  <c r="F255" i="1"/>
  <c r="F255" i="1" a="1"/>
  <c r="G254" i="1"/>
  <c r="F254" i="1"/>
  <c r="F254" i="1" a="1"/>
  <c r="G253" i="1"/>
  <c r="F253" i="1"/>
  <c r="F253" i="1" a="1"/>
  <c r="G252" i="1"/>
  <c r="F252" i="1"/>
  <c r="F252" i="1" a="1"/>
  <c r="G251" i="1"/>
  <c r="F251" i="1"/>
  <c r="F251" i="1" a="1"/>
  <c r="G250" i="1"/>
  <c r="F250" i="1"/>
  <c r="F250" i="1" a="1"/>
  <c r="G249" i="1"/>
  <c r="F249" i="1"/>
  <c r="F249" i="1" a="1"/>
  <c r="G248" i="1"/>
  <c r="F248" i="1"/>
  <c r="F248" i="1" a="1"/>
  <c r="G247" i="1"/>
  <c r="F247" i="1"/>
  <c r="F247" i="1" a="1"/>
  <c r="G246" i="1"/>
  <c r="F246" i="1"/>
  <c r="F246" i="1" a="1"/>
  <c r="G245" i="1"/>
  <c r="F245" i="1"/>
  <c r="F245" i="1" a="1"/>
  <c r="G244" i="1"/>
  <c r="F244" i="1"/>
  <c r="F244" i="1" a="1"/>
  <c r="G243" i="1"/>
  <c r="F243" i="1"/>
  <c r="F243" i="1" a="1"/>
  <c r="G242" i="1"/>
  <c r="F242" i="1"/>
  <c r="F242" i="1" a="1"/>
  <c r="G241" i="1"/>
  <c r="F241" i="1"/>
  <c r="F241" i="1" a="1"/>
  <c r="G240" i="1"/>
  <c r="F240" i="1"/>
  <c r="F240" i="1" a="1"/>
  <c r="G239" i="1"/>
  <c r="F239" i="1"/>
  <c r="F239" i="1" a="1"/>
  <c r="G238" i="1"/>
  <c r="F238" i="1"/>
  <c r="F238" i="1" a="1"/>
  <c r="G237" i="1"/>
  <c r="F237" i="1"/>
  <c r="F237" i="1" a="1"/>
  <c r="G236" i="1"/>
  <c r="F236" i="1"/>
  <c r="F236" i="1" a="1"/>
  <c r="G235" i="1"/>
  <c r="F235" i="1"/>
  <c r="F235" i="1" a="1"/>
  <c r="G234" i="1"/>
  <c r="F234" i="1"/>
  <c r="F234" i="1" a="1"/>
  <c r="G233" i="1"/>
  <c r="F233" i="1"/>
  <c r="F233" i="1" a="1"/>
  <c r="G232" i="1"/>
  <c r="F232" i="1"/>
  <c r="F232" i="1" a="1"/>
  <c r="G231" i="1"/>
  <c r="F231" i="1"/>
  <c r="F231" i="1" a="1"/>
  <c r="G230" i="1"/>
  <c r="F230" i="1"/>
  <c r="F230" i="1" a="1"/>
  <c r="G229" i="1"/>
  <c r="F229" i="1"/>
  <c r="F229" i="1" a="1"/>
  <c r="G228" i="1"/>
  <c r="F228" i="1"/>
  <c r="F228" i="1" a="1"/>
  <c r="G227" i="1"/>
  <c r="F227" i="1"/>
  <c r="F227" i="1" a="1"/>
  <c r="G226" i="1"/>
  <c r="F226" i="1"/>
  <c r="F226" i="1" a="1"/>
  <c r="G225" i="1"/>
  <c r="F225" i="1"/>
  <c r="F225" i="1" a="1"/>
  <c r="G224" i="1"/>
  <c r="F224" i="1"/>
  <c r="F224" i="1" a="1"/>
  <c r="G223" i="1"/>
  <c r="F223" i="1"/>
  <c r="F223" i="1" a="1"/>
  <c r="G222" i="1"/>
  <c r="F222" i="1"/>
  <c r="F222" i="1" a="1"/>
  <c r="G221" i="1"/>
  <c r="F221" i="1"/>
  <c r="F221" i="1" a="1"/>
  <c r="G220" i="1"/>
  <c r="F220" i="1"/>
  <c r="F220" i="1" a="1"/>
  <c r="G219" i="1"/>
  <c r="F219" i="1"/>
  <c r="F219" i="1" a="1"/>
  <c r="G218" i="1"/>
  <c r="F218" i="1"/>
  <c r="F218" i="1" a="1"/>
  <c r="G217" i="1"/>
  <c r="F217" i="1"/>
  <c r="F217" i="1" a="1"/>
  <c r="G216" i="1"/>
  <c r="F216" i="1"/>
  <c r="F216" i="1" a="1"/>
  <c r="G215" i="1"/>
  <c r="F215" i="1"/>
  <c r="F215" i="1" a="1"/>
  <c r="G214" i="1"/>
  <c r="F214" i="1"/>
  <c r="F214" i="1" a="1"/>
  <c r="G213" i="1"/>
  <c r="F213" i="1"/>
  <c r="F213" i="1" a="1"/>
  <c r="G212" i="1"/>
  <c r="F212" i="1"/>
  <c r="F212" i="1" a="1"/>
  <c r="G211" i="1"/>
  <c r="F211" i="1"/>
  <c r="F211" i="1" a="1"/>
  <c r="G210" i="1"/>
  <c r="F210" i="1"/>
  <c r="F210" i="1" a="1"/>
  <c r="G209" i="1"/>
  <c r="F209" i="1"/>
  <c r="F209" i="1" a="1"/>
  <c r="G208" i="1"/>
  <c r="F208" i="1"/>
  <c r="F208" i="1" a="1"/>
  <c r="G207" i="1"/>
  <c r="F207" i="1"/>
  <c r="F207" i="1" a="1"/>
  <c r="G206" i="1"/>
  <c r="F206" i="1"/>
  <c r="F206" i="1" a="1"/>
  <c r="G205" i="1"/>
  <c r="F205" i="1"/>
  <c r="F205" i="1" a="1"/>
  <c r="G204" i="1"/>
  <c r="F204" i="1"/>
  <c r="F204" i="1" a="1"/>
  <c r="G203" i="1"/>
  <c r="F203" i="1"/>
  <c r="F203" i="1" a="1"/>
  <c r="G202" i="1"/>
  <c r="F202" i="1"/>
  <c r="F202" i="1" a="1"/>
  <c r="G201" i="1"/>
  <c r="F201" i="1"/>
  <c r="F201" i="1" a="1"/>
  <c r="G200" i="1"/>
  <c r="F200" i="1"/>
  <c r="F200" i="1" a="1"/>
  <c r="G199" i="1"/>
  <c r="F199" i="1"/>
  <c r="F199" i="1" a="1"/>
  <c r="G198" i="1"/>
  <c r="F198" i="1"/>
  <c r="F198" i="1" a="1"/>
  <c r="G197" i="1"/>
  <c r="F197" i="1"/>
  <c r="F197" i="1" a="1"/>
  <c r="G196" i="1"/>
  <c r="F196" i="1"/>
  <c r="F196" i="1" a="1"/>
  <c r="G195" i="1"/>
  <c r="F195" i="1"/>
  <c r="F195" i="1" a="1"/>
  <c r="G194" i="1"/>
  <c r="F194" i="1"/>
  <c r="F194" i="1" a="1"/>
  <c r="G193" i="1"/>
  <c r="F193" i="1"/>
  <c r="F193" i="1" a="1"/>
  <c r="G192" i="1"/>
  <c r="F192" i="1"/>
  <c r="F192" i="1" a="1"/>
  <c r="G191" i="1"/>
  <c r="F191" i="1"/>
  <c r="F191" i="1" a="1"/>
  <c r="G190" i="1"/>
  <c r="F190" i="1"/>
  <c r="F190" i="1" a="1"/>
  <c r="G189" i="1"/>
  <c r="F189" i="1"/>
  <c r="F189" i="1" a="1"/>
  <c r="G188" i="1"/>
  <c r="F188" i="1"/>
  <c r="F188" i="1" a="1"/>
  <c r="G187" i="1"/>
  <c r="F187" i="1"/>
  <c r="F187" i="1" a="1"/>
  <c r="G186" i="1"/>
  <c r="F186" i="1"/>
  <c r="F186" i="1" a="1"/>
  <c r="G185" i="1"/>
  <c r="F185" i="1"/>
  <c r="F185" i="1" a="1"/>
  <c r="G184" i="1"/>
  <c r="F184" i="1"/>
  <c r="F184" i="1" a="1"/>
  <c r="G183" i="1"/>
  <c r="F183" i="1"/>
  <c r="F183" i="1" a="1"/>
  <c r="G182" i="1"/>
  <c r="F182" i="1"/>
  <c r="F182" i="1" a="1"/>
  <c r="G181" i="1"/>
  <c r="F181" i="1"/>
  <c r="F181" i="1" a="1"/>
  <c r="G180" i="1"/>
  <c r="F180" i="1"/>
  <c r="F180" i="1" a="1"/>
  <c r="G179" i="1"/>
  <c r="F179" i="1"/>
  <c r="F179" i="1" a="1"/>
  <c r="G178" i="1"/>
  <c r="F178" i="1"/>
  <c r="F178" i="1" a="1"/>
  <c r="G177" i="1"/>
  <c r="F177" i="1"/>
  <c r="F177" i="1" a="1"/>
  <c r="G176" i="1"/>
  <c r="F176" i="1"/>
  <c r="F176" i="1" a="1"/>
  <c r="G175" i="1"/>
  <c r="F175" i="1"/>
  <c r="F175" i="1" a="1"/>
  <c r="G174" i="1"/>
  <c r="F174" i="1"/>
  <c r="F174" i="1" a="1"/>
  <c r="G173" i="1"/>
  <c r="F173" i="1"/>
  <c r="F173" i="1" a="1"/>
  <c r="G172" i="1"/>
  <c r="F172" i="1"/>
  <c r="F172" i="1" a="1"/>
  <c r="G171" i="1"/>
  <c r="F171" i="1"/>
  <c r="F171" i="1" a="1"/>
  <c r="G170" i="1"/>
  <c r="F170" i="1"/>
  <c r="F170" i="1" a="1"/>
  <c r="G169" i="1"/>
  <c r="F169" i="1"/>
  <c r="F169" i="1" a="1"/>
  <c r="G168" i="1"/>
  <c r="F168" i="1"/>
  <c r="F168" i="1" a="1"/>
  <c r="G167" i="1"/>
  <c r="F167" i="1"/>
  <c r="F167" i="1" a="1"/>
  <c r="G166" i="1"/>
  <c r="F166" i="1"/>
  <c r="F166" i="1" a="1"/>
  <c r="G165" i="1"/>
  <c r="F165" i="1"/>
  <c r="F165" i="1" a="1"/>
  <c r="G164" i="1"/>
  <c r="F164" i="1"/>
  <c r="F164" i="1" a="1"/>
  <c r="G163" i="1"/>
  <c r="F163" i="1"/>
  <c r="F163" i="1" a="1"/>
  <c r="G162" i="1"/>
  <c r="F162" i="1"/>
  <c r="F162" i="1" a="1"/>
  <c r="G161" i="1"/>
  <c r="F161" i="1"/>
  <c r="F161" i="1" a="1"/>
  <c r="G160" i="1"/>
  <c r="F160" i="1"/>
  <c r="F160" i="1" a="1"/>
  <c r="G159" i="1"/>
  <c r="F159" i="1"/>
  <c r="F159" i="1" a="1"/>
  <c r="G158" i="1"/>
  <c r="F158" i="1"/>
  <c r="F158" i="1" a="1"/>
  <c r="G157" i="1"/>
  <c r="F157" i="1"/>
  <c r="F157" i="1" a="1"/>
  <c r="G156" i="1"/>
  <c r="F156" i="1"/>
  <c r="F156" i="1" a="1"/>
  <c r="G155" i="1"/>
  <c r="F155" i="1"/>
  <c r="F155" i="1" a="1"/>
  <c r="G154" i="1"/>
  <c r="F154" i="1"/>
  <c r="F154" i="1" a="1"/>
  <c r="G153" i="1"/>
  <c r="F153" i="1"/>
  <c r="F153" i="1" a="1"/>
  <c r="G152" i="1"/>
  <c r="F152" i="1"/>
  <c r="F152" i="1" a="1"/>
  <c r="G151" i="1"/>
  <c r="F151" i="1"/>
  <c r="F151" i="1" a="1"/>
  <c r="G150" i="1"/>
  <c r="F150" i="1"/>
  <c r="F150" i="1" a="1"/>
  <c r="G149" i="1"/>
  <c r="F149" i="1"/>
  <c r="F149" i="1" a="1"/>
  <c r="G148" i="1"/>
  <c r="F148" i="1"/>
  <c r="F148" i="1" a="1"/>
  <c r="G147" i="1"/>
  <c r="F147" i="1"/>
  <c r="F147" i="1" a="1"/>
  <c r="G146" i="1"/>
  <c r="F146" i="1"/>
  <c r="F146" i="1" a="1"/>
  <c r="G145" i="1"/>
  <c r="F145" i="1"/>
  <c r="F145" i="1" a="1"/>
  <c r="G144" i="1"/>
  <c r="F144" i="1"/>
  <c r="F144" i="1" a="1"/>
  <c r="G143" i="1"/>
  <c r="F143" i="1"/>
  <c r="F143" i="1" a="1"/>
  <c r="G142" i="1"/>
  <c r="F142" i="1"/>
  <c r="F142" i="1" a="1"/>
  <c r="G141" i="1"/>
  <c r="F141" i="1"/>
  <c r="F141" i="1" a="1"/>
  <c r="G140" i="1"/>
  <c r="F140" i="1"/>
  <c r="F140" i="1" a="1"/>
  <c r="G139" i="1"/>
  <c r="F139" i="1"/>
  <c r="F139" i="1" a="1"/>
  <c r="G138" i="1"/>
  <c r="F138" i="1"/>
  <c r="F138" i="1" a="1"/>
  <c r="G137" i="1"/>
  <c r="F137" i="1"/>
  <c r="F137" i="1" a="1"/>
  <c r="G136" i="1"/>
  <c r="F136" i="1"/>
  <c r="F136" i="1" a="1"/>
  <c r="G135" i="1"/>
  <c r="F135" i="1"/>
  <c r="F135" i="1" a="1"/>
  <c r="G134" i="1"/>
  <c r="F134" i="1"/>
  <c r="F134" i="1" a="1"/>
  <c r="G133" i="1"/>
  <c r="F133" i="1"/>
  <c r="F133" i="1" a="1"/>
  <c r="G132" i="1"/>
  <c r="F132" i="1"/>
  <c r="F132" i="1" a="1"/>
  <c r="G131" i="1"/>
  <c r="F131" i="1"/>
  <c r="F131" i="1" a="1"/>
  <c r="G130" i="1"/>
  <c r="F130" i="1"/>
  <c r="F130" i="1" a="1"/>
  <c r="G129" i="1"/>
  <c r="F129" i="1"/>
  <c r="F129" i="1" a="1"/>
  <c r="G128" i="1"/>
  <c r="F128" i="1"/>
  <c r="F128" i="1" a="1"/>
  <c r="G127" i="1"/>
  <c r="F127" i="1"/>
  <c r="F127" i="1" a="1"/>
  <c r="G126" i="1"/>
  <c r="F126" i="1"/>
  <c r="F126" i="1" a="1"/>
  <c r="G125" i="1"/>
  <c r="F125" i="1"/>
  <c r="F125" i="1" a="1"/>
  <c r="G124" i="1"/>
  <c r="F124" i="1"/>
  <c r="F124" i="1" a="1"/>
  <c r="G123" i="1"/>
  <c r="F123" i="1"/>
  <c r="F123" i="1" a="1"/>
  <c r="G122" i="1"/>
  <c r="F122" i="1"/>
  <c r="F122" i="1" a="1"/>
  <c r="G121" i="1"/>
  <c r="F121" i="1"/>
  <c r="F121" i="1" a="1"/>
  <c r="G120" i="1"/>
  <c r="F120" i="1"/>
  <c r="F120" i="1" a="1"/>
  <c r="G119" i="1"/>
  <c r="F119" i="1"/>
  <c r="F119" i="1" a="1"/>
  <c r="G118" i="1"/>
  <c r="F118" i="1"/>
  <c r="F118" i="1" a="1"/>
  <c r="G117" i="1"/>
  <c r="F117" i="1"/>
  <c r="F117" i="1" a="1"/>
  <c r="G116" i="1"/>
  <c r="F116" i="1"/>
  <c r="F116" i="1" a="1"/>
  <c r="G115" i="1"/>
  <c r="F115" i="1"/>
  <c r="F115" i="1" a="1"/>
  <c r="G114" i="1"/>
  <c r="F114" i="1"/>
  <c r="F114" i="1" a="1"/>
  <c r="G113" i="1"/>
  <c r="F113" i="1"/>
  <c r="F113" i="1" a="1"/>
  <c r="G112" i="1"/>
  <c r="F112" i="1"/>
  <c r="F112" i="1" a="1"/>
  <c r="G111" i="1"/>
  <c r="F111" i="1"/>
  <c r="F111" i="1" a="1"/>
  <c r="G110" i="1"/>
  <c r="F110" i="1"/>
  <c r="F110" i="1" a="1"/>
  <c r="G109" i="1"/>
  <c r="F109" i="1"/>
  <c r="F109" i="1" a="1"/>
  <c r="G108" i="1"/>
  <c r="F108" i="1"/>
  <c r="F108" i="1" a="1"/>
  <c r="G107" i="1"/>
  <c r="F107" i="1"/>
  <c r="F107" i="1" a="1"/>
  <c r="G106" i="1"/>
  <c r="F106" i="1"/>
  <c r="F106" i="1" a="1"/>
  <c r="G105" i="1"/>
  <c r="F105" i="1"/>
  <c r="F105" i="1" a="1"/>
  <c r="G104" i="1"/>
  <c r="F104" i="1"/>
  <c r="F104" i="1" a="1"/>
  <c r="G103" i="1"/>
  <c r="F103" i="1"/>
  <c r="F103" i="1" a="1"/>
  <c r="G102" i="1"/>
  <c r="F102" i="1"/>
  <c r="F102" i="1" a="1"/>
  <c r="G101" i="1"/>
  <c r="F101" i="1"/>
  <c r="F101" i="1" a="1"/>
  <c r="G100" i="1"/>
  <c r="F100" i="1"/>
  <c r="F100" i="1" a="1"/>
  <c r="G99" i="1"/>
  <c r="F99" i="1"/>
  <c r="F99" i="1" a="1"/>
  <c r="G98" i="1"/>
  <c r="F98" i="1"/>
  <c r="F98" i="1" a="1"/>
  <c r="G97" i="1"/>
  <c r="F97" i="1"/>
  <c r="F97" i="1" a="1"/>
  <c r="G96" i="1"/>
  <c r="F96" i="1"/>
  <c r="F96" i="1" a="1"/>
  <c r="G95" i="1"/>
  <c r="F95" i="1"/>
  <c r="F95" i="1" a="1"/>
  <c r="G94" i="1"/>
  <c r="F94" i="1"/>
  <c r="F94" i="1" a="1"/>
  <c r="G93" i="1"/>
  <c r="F93" i="1"/>
  <c r="F93" i="1" a="1"/>
  <c r="G92" i="1"/>
  <c r="F92" i="1"/>
  <c r="F92" i="1" a="1"/>
  <c r="G91" i="1"/>
  <c r="F91" i="1"/>
  <c r="F91" i="1" a="1"/>
  <c r="G90" i="1"/>
  <c r="F90" i="1"/>
  <c r="F90" i="1" a="1"/>
  <c r="G89" i="1"/>
  <c r="F89" i="1"/>
  <c r="F89" i="1" a="1"/>
  <c r="G88" i="1"/>
  <c r="F88" i="1"/>
  <c r="F88" i="1" a="1"/>
  <c r="G87" i="1"/>
  <c r="F87" i="1"/>
  <c r="F87" i="1" a="1"/>
  <c r="G86" i="1"/>
  <c r="F86" i="1"/>
  <c r="F86" i="1" a="1"/>
  <c r="G85" i="1"/>
  <c r="F85" i="1"/>
  <c r="F85" i="1" a="1"/>
  <c r="G84" i="1"/>
  <c r="F84" i="1"/>
  <c r="F84" i="1" a="1"/>
  <c r="G83" i="1"/>
  <c r="F83" i="1"/>
  <c r="F83" i="1" a="1"/>
  <c r="G82" i="1"/>
  <c r="F82" i="1"/>
  <c r="F82" i="1" a="1"/>
  <c r="G81" i="1"/>
  <c r="F81" i="1"/>
  <c r="F81" i="1" a="1"/>
  <c r="G80" i="1"/>
  <c r="F80" i="1"/>
  <c r="F80" i="1" a="1"/>
  <c r="G79" i="1"/>
  <c r="F79" i="1"/>
  <c r="F79" i="1" a="1"/>
  <c r="G78" i="1"/>
  <c r="F78" i="1"/>
  <c r="F78" i="1" a="1"/>
  <c r="G77" i="1"/>
  <c r="F77" i="1"/>
  <c r="F77" i="1" a="1"/>
  <c r="G76" i="1"/>
  <c r="F76" i="1"/>
  <c r="F76" i="1" a="1"/>
  <c r="G75" i="1"/>
  <c r="F75" i="1"/>
  <c r="F75" i="1" a="1"/>
  <c r="G74" i="1"/>
  <c r="F74" i="1"/>
  <c r="F74" i="1" a="1"/>
  <c r="G73" i="1"/>
  <c r="F73" i="1"/>
  <c r="F73" i="1" a="1"/>
  <c r="G72" i="1"/>
  <c r="F72" i="1"/>
  <c r="F72" i="1" a="1"/>
  <c r="G71" i="1"/>
  <c r="F71" i="1"/>
  <c r="F71" i="1" a="1"/>
  <c r="G70" i="1"/>
  <c r="F70" i="1"/>
  <c r="F70" i="1" a="1"/>
  <c r="G69" i="1"/>
  <c r="F69" i="1"/>
  <c r="F69" i="1" a="1"/>
  <c r="G68" i="1"/>
  <c r="F68" i="1"/>
  <c r="F68" i="1" a="1"/>
  <c r="G67" i="1"/>
  <c r="F67" i="1"/>
  <c r="F67" i="1" a="1"/>
  <c r="G66" i="1"/>
  <c r="F66" i="1"/>
  <c r="F66" i="1" a="1"/>
  <c r="G65" i="1"/>
  <c r="F65" i="1"/>
  <c r="F65" i="1" a="1"/>
  <c r="G64" i="1"/>
  <c r="F64" i="1"/>
  <c r="F64" i="1" a="1"/>
  <c r="G63" i="1"/>
  <c r="F63" i="1"/>
  <c r="F63" i="1" a="1"/>
  <c r="G62" i="1"/>
  <c r="F62" i="1"/>
  <c r="F62" i="1" a="1"/>
  <c r="G61" i="1"/>
  <c r="F61" i="1"/>
  <c r="F61" i="1" a="1"/>
  <c r="G60" i="1"/>
  <c r="F60" i="1"/>
  <c r="F60" i="1" a="1"/>
  <c r="G59" i="1"/>
  <c r="F59" i="1"/>
  <c r="F59" i="1" a="1"/>
  <c r="G58" i="1"/>
  <c r="F58" i="1"/>
  <c r="F58" i="1" a="1"/>
  <c r="G57" i="1"/>
  <c r="F57" i="1"/>
  <c r="F57" i="1" a="1"/>
  <c r="G56" i="1"/>
  <c r="F56" i="1"/>
  <c r="F56" i="1" a="1"/>
  <c r="G55" i="1"/>
  <c r="F55" i="1"/>
  <c r="F55" i="1" a="1"/>
  <c r="G54" i="1"/>
  <c r="F54" i="1"/>
  <c r="F54" i="1" a="1"/>
  <c r="G53" i="1"/>
  <c r="F53" i="1"/>
  <c r="F53" i="1" a="1"/>
  <c r="G52" i="1"/>
  <c r="F52" i="1"/>
  <c r="F52" i="1" a="1"/>
  <c r="G51" i="1"/>
  <c r="F51" i="1"/>
  <c r="F51" i="1" a="1"/>
  <c r="G50" i="1"/>
  <c r="F50" i="1"/>
  <c r="F50" i="1" a="1"/>
  <c r="G49" i="1"/>
  <c r="F49" i="1"/>
  <c r="F49" i="1" a="1"/>
  <c r="G48" i="1"/>
  <c r="F48" i="1"/>
  <c r="F48" i="1" a="1"/>
  <c r="G47" i="1"/>
  <c r="F47" i="1"/>
  <c r="F47" i="1" a="1"/>
  <c r="G46" i="1"/>
  <c r="F46" i="1"/>
  <c r="F46" i="1" a="1"/>
  <c r="G45" i="1"/>
  <c r="F45" i="1"/>
  <c r="F45" i="1" a="1"/>
  <c r="G44" i="1"/>
  <c r="F44" i="1"/>
  <c r="F44" i="1" a="1"/>
  <c r="G43" i="1"/>
  <c r="F43" i="1"/>
  <c r="F43" i="1" a="1"/>
  <c r="G42" i="1"/>
  <c r="F42" i="1"/>
  <c r="F42" i="1" a="1"/>
  <c r="G41" i="1"/>
  <c r="F41" i="1"/>
  <c r="F41" i="1" a="1"/>
  <c r="G40" i="1"/>
  <c r="F40" i="1"/>
  <c r="F40" i="1" a="1"/>
  <c r="G39" i="1"/>
  <c r="F39" i="1"/>
  <c r="F39" i="1" a="1"/>
  <c r="G38" i="1"/>
  <c r="F38" i="1"/>
  <c r="F38" i="1" a="1"/>
  <c r="G37" i="1"/>
  <c r="F37" i="1"/>
  <c r="F37" i="1" a="1"/>
  <c r="G36" i="1"/>
  <c r="F36" i="1"/>
  <c r="F36" i="1" a="1"/>
  <c r="G35" i="1"/>
  <c r="F35" i="1"/>
  <c r="F35" i="1" a="1"/>
  <c r="G34" i="1"/>
  <c r="F34" i="1"/>
  <c r="F34" i="1" a="1"/>
  <c r="G33" i="1"/>
  <c r="F33" i="1"/>
  <c r="F33" i="1" a="1"/>
  <c r="G32" i="1"/>
  <c r="F32" i="1"/>
  <c r="F32" i="1" a="1"/>
  <c r="G31" i="1"/>
  <c r="F31" i="1"/>
  <c r="F31" i="1" a="1"/>
  <c r="G30" i="1"/>
  <c r="F30" i="1"/>
  <c r="F30" i="1" a="1"/>
  <c r="G29" i="1"/>
  <c r="F29" i="1"/>
  <c r="F29" i="1" a="1"/>
  <c r="G28" i="1"/>
  <c r="F28" i="1"/>
  <c r="F28" i="1" a="1"/>
  <c r="G27" i="1"/>
  <c r="F27" i="1"/>
  <c r="F27" i="1" a="1"/>
  <c r="G26" i="1"/>
  <c r="F26" i="1"/>
  <c r="F26" i="1" a="1"/>
  <c r="G25" i="1"/>
  <c r="F25" i="1"/>
  <c r="F25" i="1" a="1"/>
  <c r="G24" i="1"/>
  <c r="F24" i="1"/>
  <c r="F24" i="1" a="1"/>
  <c r="G23" i="1"/>
  <c r="F23" i="1"/>
  <c r="F23" i="1" a="1"/>
  <c r="G22" i="1"/>
  <c r="F22" i="1"/>
  <c r="F22" i="1" a="1"/>
  <c r="G21" i="1"/>
  <c r="F21" i="1"/>
  <c r="F21" i="1" a="1"/>
  <c r="G20" i="1"/>
  <c r="F20" i="1"/>
  <c r="F20" i="1" a="1"/>
  <c r="G19" i="1"/>
  <c r="F19" i="1"/>
  <c r="F19" i="1" a="1"/>
  <c r="G18" i="1"/>
  <c r="F18" i="1"/>
  <c r="F18" i="1" a="1"/>
  <c r="G17" i="1"/>
  <c r="F17" i="1"/>
  <c r="F17" i="1" a="1"/>
  <c r="G16" i="1"/>
  <c r="F16" i="1"/>
  <c r="F16" i="1" a="1"/>
  <c r="G15" i="1"/>
  <c r="F15" i="1"/>
  <c r="F15" i="1" a="1"/>
  <c r="G14" i="1"/>
  <c r="F14" i="1"/>
  <c r="F14" i="1" a="1"/>
  <c r="G13" i="1"/>
  <c r="F13" i="1"/>
  <c r="F13" i="1" a="1"/>
  <c r="G12" i="1"/>
  <c r="F12" i="1"/>
  <c r="F12" i="1" a="1"/>
  <c r="G11" i="1"/>
  <c r="F11" i="1"/>
  <c r="F11" i="1" a="1"/>
  <c r="G10" i="1"/>
  <c r="F10" i="1"/>
  <c r="F10" i="1" a="1"/>
  <c r="G9" i="1"/>
  <c r="F9" i="1"/>
  <c r="F9" i="1" a="1"/>
  <c r="G8" i="1"/>
  <c r="F8" i="1"/>
  <c r="F8" i="1" a="1"/>
  <c r="G7" i="1"/>
  <c r="F7" i="1"/>
  <c r="F7" i="1" a="1"/>
  <c r="G6" i="1"/>
  <c r="F6" i="1"/>
  <c r="F6" i="1" a="1"/>
  <c r="G5" i="1"/>
  <c r="F5" i="1"/>
  <c r="F5" i="1" a="1"/>
  <c r="G4" i="1"/>
  <c r="F4" i="1"/>
  <c r="F4" i="1" a="1"/>
  <c r="G3" i="1"/>
  <c r="F3" i="1"/>
  <c r="F3" i="1" a="1"/>
  <c r="G2" i="1"/>
  <c r="F2" i="1"/>
  <c r="F2" i="1" a="1"/>
  <c r="I101" i="16" l="1" a="1"/>
  <c r="I101" i="16" s="1"/>
  <c r="I5" i="16" a="1"/>
  <c r="I5" i="1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<sst xmlns="http://schemas.openxmlformats.org/spreadsheetml/2006/main" count="3152" uniqueCount="337">
  <si>
    <t>Nama_Donatur</t>
  </si>
  <si>
    <t>Email</t>
  </si>
  <si>
    <t>No_HP</t>
  </si>
  <si>
    <t>Tanggal_Donasi</t>
  </si>
  <si>
    <t>Nominal</t>
  </si>
  <si>
    <t>Elisa Prakasa</t>
  </si>
  <si>
    <t>Tgk. Pandu Mansur, S.Psi</t>
  </si>
  <si>
    <t>Cemani Kuswandari</t>
  </si>
  <si>
    <t>Drs. Febi Simbolon</t>
  </si>
  <si>
    <t>Bahuwirya Thamrin</t>
  </si>
  <si>
    <t>Danu Waluyo</t>
  </si>
  <si>
    <t>Vino Permata</t>
  </si>
  <si>
    <t>R. Edison Saragih, S.Farm</t>
  </si>
  <si>
    <t>Gaiman Astuti</t>
  </si>
  <si>
    <t>Wahyu Uyainah</t>
  </si>
  <si>
    <t>Titi Laksmiwati</t>
  </si>
  <si>
    <t>Talia Wibowo</t>
  </si>
  <si>
    <t>H. Cakrawala Winarno</t>
  </si>
  <si>
    <t>R.M. Eko Megantara, S.E.</t>
  </si>
  <si>
    <t>Darmana Safitri, S.T.</t>
  </si>
  <si>
    <t>Ir. Lintang Kusmawati, S.T.</t>
  </si>
  <si>
    <t>Dt. Kardi Sitompul</t>
  </si>
  <si>
    <t>Ir. Rendy Nasyiah, M.Kom.</t>
  </si>
  <si>
    <t>Luwes Hakim</t>
  </si>
  <si>
    <t>Qori Pudjiastuti, M.Ak</t>
  </si>
  <si>
    <t>Widya Prasasta</t>
  </si>
  <si>
    <t>Tgk. Ani Wahyudin</t>
  </si>
  <si>
    <t>dr. Dinda Suryatmi</t>
  </si>
  <si>
    <t>Drs. Yani Firmansyah</t>
  </si>
  <si>
    <t>Tiara Adriansyah</t>
  </si>
  <si>
    <t>Puti Ardianto</t>
  </si>
  <si>
    <t>Juli Habibi</t>
  </si>
  <si>
    <t>Jaga Wahyuni</t>
  </si>
  <si>
    <t>Nurul Tarihoran</t>
  </si>
  <si>
    <t>Ir. Mahmud Namaga, M.Kom.</t>
  </si>
  <si>
    <t>Cut Dina Kuswandari, S.Psi</t>
  </si>
  <si>
    <t>Puti Rahmi Dongoran</t>
  </si>
  <si>
    <t>Puji Latupono, M.TI.</t>
  </si>
  <si>
    <t>Panji Oktaviani</t>
  </si>
  <si>
    <t>Ega Gunawan</t>
  </si>
  <si>
    <t>Lili Maheswara</t>
  </si>
  <si>
    <t>dr. Luluh Siregar, M.Ak</t>
  </si>
  <si>
    <t>Ellis Zulaika</t>
  </si>
  <si>
    <t>Kayla Usamah</t>
  </si>
  <si>
    <t>Titi Maheswara</t>
  </si>
  <si>
    <t>Julia Sitorus</t>
  </si>
  <si>
    <t>Gamani Saptono</t>
  </si>
  <si>
    <t>Wage Saefullah</t>
  </si>
  <si>
    <t>Gandewa Wijayanti</t>
  </si>
  <si>
    <t>Lukita Winarsih</t>
  </si>
  <si>
    <t>Drs. Zulaikha Kuswandari, S.Sos</t>
  </si>
  <si>
    <t>Zizi Yolanda</t>
  </si>
  <si>
    <t>Vega Wacana</t>
  </si>
  <si>
    <t>Virman Rajata</t>
  </si>
  <si>
    <t>Alika Nurdiyanti</t>
  </si>
  <si>
    <t>Ana Tampubolon</t>
  </si>
  <si>
    <t>Aisyah Yuniar</t>
  </si>
  <si>
    <t>Emas Nababan</t>
  </si>
  <si>
    <t>Michelle Siregar</t>
  </si>
  <si>
    <t>R. Ratih Wastuti</t>
  </si>
  <si>
    <t>Rini Pradana</t>
  </si>
  <si>
    <t>Mahesa Mahendra</t>
  </si>
  <si>
    <t>Dt. Pangestu Suwarno, M.M.</t>
  </si>
  <si>
    <t>Edi Simbolon</t>
  </si>
  <si>
    <t>Zalindra Widodo, S.T.</t>
  </si>
  <si>
    <t>Natalia Marbun</t>
  </si>
  <si>
    <t>Syahrini Wijayanti, M.Farm</t>
  </si>
  <si>
    <t>Suci Tamba</t>
  </si>
  <si>
    <t>Laksana Rajasa</t>
  </si>
  <si>
    <t>Tgk. Raisa Megantara, M.Pd</t>
  </si>
  <si>
    <t>Endah Najmudin</t>
  </si>
  <si>
    <t>Ir. Edward Prakasa, M.M.</t>
  </si>
  <si>
    <t>Puti Paramita Nainggolan</t>
  </si>
  <si>
    <t>R. Dimaz Tarihoran</t>
  </si>
  <si>
    <t>Dina Yulianti, S.H.</t>
  </si>
  <si>
    <t>R. Balidin Maulana, M.Pd</t>
  </si>
  <si>
    <t>Septi Latupono, S.H.</t>
  </si>
  <si>
    <t>Shania Usada</t>
  </si>
  <si>
    <t>Carub Namaga</t>
  </si>
  <si>
    <t>T. Caturangga Hasanah, S.E.I</t>
  </si>
  <si>
    <t>Puti Talia Siregar, S.Pd</t>
  </si>
  <si>
    <t>Jamil Astuti</t>
  </si>
  <si>
    <t>Ikhsan Damanik</t>
  </si>
  <si>
    <t>Ajiman Sudiati, S.IP</t>
  </si>
  <si>
    <t>drg. Hartana Zulkarnain</t>
  </si>
  <si>
    <t>Dr. Ika Wacana</t>
  </si>
  <si>
    <t>Kezia Maryadi</t>
  </si>
  <si>
    <t>Rahmat Hastuti</t>
  </si>
  <si>
    <t>Tgk. Victoria Wijaya</t>
  </si>
  <si>
    <t>Zalindra Wastuti</t>
  </si>
  <si>
    <t>Oskar Permata</t>
  </si>
  <si>
    <t>Yani Nuraini</t>
  </si>
  <si>
    <t>Yuliana Utami</t>
  </si>
  <si>
    <t>Gading Hardiansyah</t>
  </si>
  <si>
    <t>Nadia Permata</t>
  </si>
  <si>
    <t>Prakosa Kuswoyo</t>
  </si>
  <si>
    <t>Nadine Melani</t>
  </si>
  <si>
    <t>Ir. Ajiman Novitasari</t>
  </si>
  <si>
    <t>Dt. Cawisono Mustofa</t>
  </si>
  <si>
    <t>Ami Haryanti, S.Gz</t>
  </si>
  <si>
    <t>H. Karta Pratiwi, S.Pd</t>
  </si>
  <si>
    <t>T. Naradi Usada, S.E.</t>
  </si>
  <si>
    <t>Ir. Gantar Safitri, S.IP</t>
  </si>
  <si>
    <t>Puspa Napitupulu</t>
  </si>
  <si>
    <t>Jaswadi Nashiruddin</t>
  </si>
  <si>
    <t>dimazlestari@ud.my.id</t>
  </si>
  <si>
    <t>cagerhalimah@ud.my.id</t>
  </si>
  <si>
    <t>melaniestiono@yahoo.com</t>
  </si>
  <si>
    <t>tampubolonlasmanto@cv.web.id</t>
  </si>
  <si>
    <t>utamba@pd.ponpes.id</t>
  </si>
  <si>
    <t>vanesa41@yahoo.com</t>
  </si>
  <si>
    <t>kiandra43@pt.desa.id</t>
  </si>
  <si>
    <t>reza38@yahoo.com</t>
  </si>
  <si>
    <t>npratama@hotmail.com</t>
  </si>
  <si>
    <t>damaniktalia@cv.sch.id</t>
  </si>
  <si>
    <t>cengkirwacana@hotmail.com</t>
  </si>
  <si>
    <t>halima97@ud.net.id</t>
  </si>
  <si>
    <t>mfarida@yahoo.com</t>
  </si>
  <si>
    <t>bfujiati@pt.int</t>
  </si>
  <si>
    <t>luthfinapitupulu@ud.ponpes.id</t>
  </si>
  <si>
    <t>ilyasdongoran@gmail.com</t>
  </si>
  <si>
    <t>rosman56@perum.id</t>
  </si>
  <si>
    <t>bambang29@ud.ac.id</t>
  </si>
  <si>
    <t>rajasamustofa@ud.gov</t>
  </si>
  <si>
    <t>wahyudindarijan@ud.org</t>
  </si>
  <si>
    <t>maryanto54@ud.mil.id</t>
  </si>
  <si>
    <t>hthamrin@perum.biz.id</t>
  </si>
  <si>
    <t>jarwa75@pd.net</t>
  </si>
  <si>
    <t>yuniarprayitna@gmail.com</t>
  </si>
  <si>
    <t>iswahyudiyusuf@cv.sch.id</t>
  </si>
  <si>
    <t>bancarwaskita@hotmail.com</t>
  </si>
  <si>
    <t>twinarno@yahoo.com</t>
  </si>
  <si>
    <t>puti51@hotmail.com</t>
  </si>
  <si>
    <t>rafid30@gmail.com</t>
  </si>
  <si>
    <t>jayengkuswandari@yahoo.com</t>
  </si>
  <si>
    <t>ajiman73@cv.web.id</t>
  </si>
  <si>
    <t>firmansyahwage@yahoo.com</t>
  </si>
  <si>
    <t>vanesapuspasari@ud.id</t>
  </si>
  <si>
    <t>latuponomala@yahoo.com</t>
  </si>
  <si>
    <t>caketwijaya@gmail.com</t>
  </si>
  <si>
    <t>daryani54@ud.net.id</t>
  </si>
  <si>
    <t>ajimindongoran@hotmail.com</t>
  </si>
  <si>
    <t>dongorandaliono@pd.sch.id</t>
  </si>
  <si>
    <t>pmahendra@ud.gov</t>
  </si>
  <si>
    <t>dlazuardi@pt.id</t>
  </si>
  <si>
    <t>gambirasitompul@perum.mil.id</t>
  </si>
  <si>
    <t>lestaridarman@hotmail.com</t>
  </si>
  <si>
    <t>kamal73@gmail.com</t>
  </si>
  <si>
    <t>firgantorojarwadi@yahoo.com</t>
  </si>
  <si>
    <t>mansurindah@gmail.com</t>
  </si>
  <si>
    <t>astutifitriani@perum.ponpes.id</t>
  </si>
  <si>
    <t>rudi69@pd.or.id</t>
  </si>
  <si>
    <t>gunartoulva@hotmail.com</t>
  </si>
  <si>
    <t>zalindranovitasari@yahoo.com</t>
  </si>
  <si>
    <t>tasnim77@hotmail.com</t>
  </si>
  <si>
    <t>ozygunawan@gmail.com</t>
  </si>
  <si>
    <t>faridanadia@pt.mil.id</t>
  </si>
  <si>
    <t>kamariaharyanto@yahoo.com</t>
  </si>
  <si>
    <t>laras76@hotmail.com</t>
  </si>
  <si>
    <t>sidiqoktaviani@gmail.com</t>
  </si>
  <si>
    <t>samsulsudiati@perum.desa.id</t>
  </si>
  <si>
    <t>ewaluyo@perum.desa.id</t>
  </si>
  <si>
    <t>vino85@gmail.com</t>
  </si>
  <si>
    <t>karimanrahimah@gmail.com</t>
  </si>
  <si>
    <t>hnajmudin@cv.gov</t>
  </si>
  <si>
    <t>yuliartikiandra@perum.mil</t>
  </si>
  <si>
    <t>indrapratama@pt.desa.id</t>
  </si>
  <si>
    <t>olivia50@gmail.com</t>
  </si>
  <si>
    <t>jdabukke@hotmail.com</t>
  </si>
  <si>
    <t>wulandarimartaka@pd.sch.id</t>
  </si>
  <si>
    <t>eli47@hotmail.com</t>
  </si>
  <si>
    <t>zhardiansyah@ud.co.id</t>
  </si>
  <si>
    <t>cahyonowacana@cv.mil.id</t>
  </si>
  <si>
    <t>ulyadamanik@cv.ac.id</t>
  </si>
  <si>
    <t>tasnim22@hotmail.com</t>
  </si>
  <si>
    <t>haryantoemil@ud.edu</t>
  </si>
  <si>
    <t>bella53@pd.co.id</t>
  </si>
  <si>
    <t>irianasihombing@gmail.com</t>
  </si>
  <si>
    <t>mayawastuti@pd.biz.id</t>
  </si>
  <si>
    <t>chasanah@hotmail.com</t>
  </si>
  <si>
    <t>firawan@cv.edu</t>
  </si>
  <si>
    <t>yancetarihoran@gmail.com</t>
  </si>
  <si>
    <t>langgeng71@gmail.com</t>
  </si>
  <si>
    <t>irasimbolon@pt.sch.id</t>
  </si>
  <si>
    <t>dlatupono@ud.web.id</t>
  </si>
  <si>
    <t>anggrainidarmana@hotmail.com</t>
  </si>
  <si>
    <t>galuhkusmawati@pt.mil.id</t>
  </si>
  <si>
    <t>gina89@perum.net.id</t>
  </si>
  <si>
    <t>zulfa72@pd.com</t>
  </si>
  <si>
    <t>januarhadi@yahoo.com</t>
  </si>
  <si>
    <t>dabukkeanggabaya@yahoo.com</t>
  </si>
  <si>
    <t>ajeng31@perum.ponpes.id</t>
  </si>
  <si>
    <t>dhariyah@yahoo.com</t>
  </si>
  <si>
    <t>martaniwastuti@hotmail.com</t>
  </si>
  <si>
    <t>hasimsihotang@ud.int</t>
  </si>
  <si>
    <t>cici41@gmail.com</t>
  </si>
  <si>
    <t>owacana@pd.my.id</t>
  </si>
  <si>
    <t>gildapurwanti@ud.id</t>
  </si>
  <si>
    <t>ldabukke@gmail.com</t>
  </si>
  <si>
    <t>michelle36@gmail.com</t>
  </si>
  <si>
    <t>hariyahatmaja@cv.or.id</t>
  </si>
  <si>
    <t>fnababan@pt.org</t>
  </si>
  <si>
    <t>wahyudinolga@yahoo.com</t>
  </si>
  <si>
    <t>rahmiutami@yahoo.com</t>
  </si>
  <si>
    <t>iswahyudiicha@perum.com</t>
  </si>
  <si>
    <t>089359925272</t>
  </si>
  <si>
    <t>084414454864</t>
  </si>
  <si>
    <t>085981671649</t>
  </si>
  <si>
    <t>089721078156</t>
  </si>
  <si>
    <t>081362752950</t>
  </si>
  <si>
    <t>088263853330</t>
  </si>
  <si>
    <t>083112358926</t>
  </si>
  <si>
    <t>089586244327</t>
  </si>
  <si>
    <t>081499090567</t>
  </si>
  <si>
    <t>089682362121</t>
  </si>
  <si>
    <t>089477791672</t>
  </si>
  <si>
    <t>087861788505</t>
  </si>
  <si>
    <t>089156696145</t>
  </si>
  <si>
    <t>082856637624</t>
  </si>
  <si>
    <t>084083470257</t>
  </si>
  <si>
    <t>084202728592</t>
  </si>
  <si>
    <t>083780890923</t>
  </si>
  <si>
    <t>087738836474</t>
  </si>
  <si>
    <t>084874030158</t>
  </si>
  <si>
    <t>081789090127</t>
  </si>
  <si>
    <t>089544875060</t>
  </si>
  <si>
    <t>084482992007</t>
  </si>
  <si>
    <t>083782136774</t>
  </si>
  <si>
    <t>081135963928</t>
  </si>
  <si>
    <t>087171519162</t>
  </si>
  <si>
    <t>084075612413</t>
  </si>
  <si>
    <t>085596147367</t>
  </si>
  <si>
    <t>082071977699</t>
  </si>
  <si>
    <t>089927693526</t>
  </si>
  <si>
    <t>081130701640</t>
  </si>
  <si>
    <t>085056243534</t>
  </si>
  <si>
    <t>086834324489</t>
  </si>
  <si>
    <t>082523408987</t>
  </si>
  <si>
    <t>084873895337</t>
  </si>
  <si>
    <t>086877067205</t>
  </si>
  <si>
    <t>085591561116</t>
  </si>
  <si>
    <t>084132271778</t>
  </si>
  <si>
    <t>085544770562</t>
  </si>
  <si>
    <t>087337836051</t>
  </si>
  <si>
    <t>085164681375</t>
  </si>
  <si>
    <t>085408495852</t>
  </si>
  <si>
    <t>083458042742</t>
  </si>
  <si>
    <t>083641947000</t>
  </si>
  <si>
    <t>084798822283</t>
  </si>
  <si>
    <t>086085993757</t>
  </si>
  <si>
    <t>082573074766</t>
  </si>
  <si>
    <t>085553397607</t>
  </si>
  <si>
    <t>088280772585</t>
  </si>
  <si>
    <t>089449491877</t>
  </si>
  <si>
    <t>085831782206</t>
  </si>
  <si>
    <t>083288357322</t>
  </si>
  <si>
    <t>089966542431</t>
  </si>
  <si>
    <t>084894715392</t>
  </si>
  <si>
    <t>084233413835</t>
  </si>
  <si>
    <t>089066165043</t>
  </si>
  <si>
    <t>081428544156</t>
  </si>
  <si>
    <t>084535784990</t>
  </si>
  <si>
    <t>089989630610</t>
  </si>
  <si>
    <t>084610166828</t>
  </si>
  <si>
    <t>089888400150</t>
  </si>
  <si>
    <t>086636116658</t>
  </si>
  <si>
    <t>082647644966</t>
  </si>
  <si>
    <t>085472119048</t>
  </si>
  <si>
    <t>082749513664</t>
  </si>
  <si>
    <t>087891542310</t>
  </si>
  <si>
    <t>087653884439</t>
  </si>
  <si>
    <t>082716774744</t>
  </si>
  <si>
    <t>087517149657</t>
  </si>
  <si>
    <t>082824235206</t>
  </si>
  <si>
    <t>087783820706</t>
  </si>
  <si>
    <t>081926032666</t>
  </si>
  <si>
    <t>086645029479</t>
  </si>
  <si>
    <t>087935388901</t>
  </si>
  <si>
    <t>089717733557</t>
  </si>
  <si>
    <t>089327750679</t>
  </si>
  <si>
    <t>082536364109</t>
  </si>
  <si>
    <t>082787528258</t>
  </si>
  <si>
    <t>088976031063</t>
  </si>
  <si>
    <t>086820741490</t>
  </si>
  <si>
    <t>085752124281</t>
  </si>
  <si>
    <t>088537254759</t>
  </si>
  <si>
    <t>085573440057</t>
  </si>
  <si>
    <t>085533216850</t>
  </si>
  <si>
    <t>087988103517</t>
  </si>
  <si>
    <t>082614561376</t>
  </si>
  <si>
    <t>082003138975</t>
  </si>
  <si>
    <t>087832711366</t>
  </si>
  <si>
    <t>089664927255</t>
  </si>
  <si>
    <t>087396670622</t>
  </si>
  <si>
    <t>087096193049</t>
  </si>
  <si>
    <t>089170698770</t>
  </si>
  <si>
    <t>084228396036</t>
  </si>
  <si>
    <t>084474994194</t>
  </si>
  <si>
    <t>085819021142</t>
  </si>
  <si>
    <t>084285538989</t>
  </si>
  <si>
    <t>085728339321</t>
  </si>
  <si>
    <t>082194201582</t>
  </si>
  <si>
    <t>082280261656</t>
  </si>
  <si>
    <t>088685929428</t>
  </si>
  <si>
    <t>084332960836</t>
  </si>
  <si>
    <t>Label Baris</t>
  </si>
  <si>
    <t>Total Keseluruhan</t>
  </si>
  <si>
    <t>Status</t>
  </si>
  <si>
    <t>Total_Nominal_Per_Donatur</t>
  </si>
  <si>
    <t>Kelompok_Jumlah_Donasi</t>
  </si>
  <si>
    <t>Frekuensi</t>
  </si>
  <si>
    <t>Tanggal Awal</t>
  </si>
  <si>
    <t>Tanggal Akhir</t>
  </si>
  <si>
    <t>Jarak Transaksi Terakhir sampai Hari Ini</t>
  </si>
  <si>
    <t>Rata-Rata Jumlah Transaksi per Bulan</t>
  </si>
  <si>
    <t>Diamond</t>
  </si>
  <si>
    <t>Silver</t>
  </si>
  <si>
    <t>Gold</t>
  </si>
  <si>
    <t>Bronze</t>
  </si>
  <si>
    <t>Kelompok</t>
  </si>
  <si>
    <t>Jumlah dari Nominal</t>
  </si>
  <si>
    <t>Hitung dari Nama_Donatur</t>
  </si>
  <si>
    <t>Aktif</t>
  </si>
  <si>
    <t>Loyal</t>
  </si>
  <si>
    <t>Pasif</t>
  </si>
  <si>
    <t>1. Kelompokkan donatur berdasarkan total nominal donasi:</t>
  </si>
  <si>
    <t>- Bronze: &lt; Rp 5.000.000</t>
  </si>
  <si>
    <t>- Silver: ≥ Rp 5.000.000</t>
  </si>
  <si>
    <t>- Gold: ≥ Rp 10.000.000</t>
  </si>
  <si>
    <t>- Diamond: ≥ Rp 20.000.000</t>
  </si>
  <si>
    <t>2. Kelompokkan donatur berdasarkan frekuensi transaksi:</t>
  </si>
  <si>
    <t>- Aktif: ada transaksi dalam 3 bulan terakhir</t>
  </si>
  <si>
    <t>- Pasif: lebih dari 3 bulan tidak donasi</t>
  </si>
  <si>
    <t>- Loyal: rata-rata 2x transaksi per bulan</t>
  </si>
  <si>
    <t>3. Kelompokkan 5 donatur dengan donasi terbesar</t>
  </si>
  <si>
    <t>Jumlah dari Jumlah dari Nominal</t>
  </si>
  <si>
    <t xml:space="preserve"> Rp4.024.300.000,00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</si>
</sst>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IDR-3809]* #,##0.00_-;\-[$IDR-3809]* #,##0.00_-;_-[$IDR-3809]* &quot;-&quot;??_-;_-@_-"/>
    <numFmt numFmtId="165" formatCode="[$-421]dd\ mmmm\ yyyy;@"/>
    <numFmt numFmtId="166" formatCode="_-[$Rp-421]* #,##0.00_-;\-[$Rp-421]* #,##0.00_-;_-[$Rp-421]* &quot;-&quot;??_-;_-@_-"/>
  </numFmts>
  <fonts count="6" x14ac:knownFonts="1">
    <font>
      <sz val="11"/>
      <color theme="1"/>
      <name val="Calibri"/>
      <family val="2"/>
      <scheme val="minor"/>
    </font>
    <font>
      <b/>
      <sz val="11"/>
      <color theme="1"/>
      <name val="Calibri"/>
      <family val="2"/>
      <scheme val="minor"/>
    </font>
    <font>
      <sz val="18"/>
      <color theme="1"/>
      <name val="Calibri"/>
      <family val="2"/>
      <scheme val="minor"/>
    </font>
    <font>
      <sz val="8"/>
      <name val="Calibri"/>
      <family val="2"/>
      <scheme val="minor"/>
    </font>
    <font>
      <sz val="11"/>
      <color rgb="FF000000"/>
      <name val="Calibri"/>
      <family val="2"/>
      <scheme val="minor"/>
    </font>
    <font>
      <sz val="16"/>
      <color theme="1"/>
      <name val="Calibri"/>
      <family val="2"/>
      <scheme val="minor"/>
    </font>
  </fonts>
  <fills count="4">
    <fill>
      <patternFill patternType="none"/>
    </fill>
    <fill>
      <patternFill patternType="gray125"/>
    </fill>
    <fill>
      <patternFill patternType="solid">
        <fgColor theme="4" tint="0.59999389629810485"/>
        <bgColor theme="4" tint="0.59999389629810485"/>
      </patternFill>
    </fill>
    <fill>
      <patternFill patternType="solid">
        <fgColor theme="4" tint="0.79998168889431442"/>
        <bgColor theme="4" tint="0.79998168889431442"/>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theme="0"/>
      </left>
      <right style="thin">
        <color theme="0"/>
      </right>
      <top style="thin">
        <color theme="0"/>
      </top>
      <bottom style="thin">
        <color theme="0"/>
      </bottom>
      <diagonal/>
    </border>
  </borders>
  <cellStyleXfs count="1">
    <xf numFmtId="0" fontId="0" fillId="0" borderId="0"/>
  </cellStyleXfs>
  <cellXfs count="24">
    <xf numFmtId="0" fontId="0" fillId="0" borderId="0" xfId="0"/>
    <xf numFmtId="0" fontId="1" fillId="0" borderId="1" xfId="0" applyFont="1" applyBorder="1" applyAlignment="1">
      <alignment horizontal="center" vertical="top"/>
    </xf>
    <xf numFmtId="164" fontId="1" fillId="0" borderId="1" xfId="0" applyNumberFormat="1" applyFont="1" applyBorder="1" applyAlignment="1">
      <alignment horizontal="center" vertical="top"/>
    </xf>
    <xf numFmtId="164" fontId="0" fillId="0" borderId="0" xfId="0" applyNumberFormat="1"/>
    <xf numFmtId="0" fontId="0" fillId="0" borderId="1" xfId="0" applyBorder="1"/>
    <xf numFmtId="0" fontId="1" fillId="0" borderId="2" xfId="0" applyFont="1" applyBorder="1" applyAlignment="1">
      <alignment horizontal="center" vertical="top"/>
    </xf>
    <xf numFmtId="14" fontId="0" fillId="0" borderId="0" xfId="0" applyNumberFormat="1"/>
    <xf numFmtId="0" fontId="0" fillId="0" borderId="0" xfId="0" pivotButton="1"/>
    <xf numFmtId="0" fontId="0" fillId="0" borderId="0" xfId="0" applyAlignment="1">
      <alignment horizontal="left"/>
    </xf>
    <xf numFmtId="165" fontId="0" fillId="0" borderId="1" xfId="0" applyNumberFormat="1" applyBorder="1"/>
    <xf numFmtId="0" fontId="1" fillId="0" borderId="3" xfId="0" applyFont="1" applyBorder="1" applyAlignment="1">
      <alignment horizontal="center" vertical="top"/>
    </xf>
    <xf numFmtId="166" fontId="0" fillId="0" borderId="0" xfId="0" applyNumberFormat="1"/>
    <xf numFmtId="166" fontId="0" fillId="0" borderId="1" xfId="0" applyNumberFormat="1" applyBorder="1"/>
    <xf numFmtId="165" fontId="1" fillId="0" borderId="1" xfId="0" applyNumberFormat="1" applyFont="1" applyBorder="1" applyAlignment="1">
      <alignment horizontal="center" vertical="top"/>
    </xf>
    <xf numFmtId="49" fontId="0" fillId="0" borderId="3" xfId="0" applyNumberFormat="1" applyBorder="1"/>
    <xf numFmtId="165" fontId="0" fillId="0" borderId="0" xfId="0" applyNumberFormat="1"/>
    <xf numFmtId="0" fontId="0" fillId="0" borderId="0" xfId="0" applyAlignment="1">
      <alignment vertical="top"/>
    </xf>
    <xf numFmtId="0" fontId="4" fillId="0" borderId="0" xfId="0" applyFont="1" applyAlignment="1">
      <alignment horizontal="left" vertical="top"/>
    </xf>
    <xf numFmtId="0" fontId="0" fillId="0" borderId="0" xfId="0" applyNumberFormat="1"/>
    <xf numFmtId="0" fontId="2" fillId="0" borderId="0" xfId="0" applyFont="1" applyAlignment="1">
      <alignment wrapText="1"/>
    </xf>
    <xf numFmtId="166" fontId="0" fillId="2" borderId="4" xfId="0" applyNumberFormat="1" applyFont="1" applyFill="1" applyBorder="1"/>
    <xf numFmtId="166" fontId="0" fillId="3" borderId="4" xfId="0" applyNumberFormat="1" applyFont="1" applyFill="1" applyBorder="1"/>
    <xf numFmtId="0" fontId="5" fillId="0" borderId="0" xfId="0" applyFont="1" applyAlignment="1">
      <alignment horizontal="left"/>
    </xf>
    <xf numFmtId="0" fontId="5" fillId="0" borderId="0" xfId="0" applyFont="1" applyAlignment="1">
      <alignment horizontal="left" vertical="center"/>
    </xf>
  </cellXfs>
  <cellStyles count="1">
    <cellStyle name="Normal" xfId="0" builtinId="0"/>
  </cellStyles>
  <dxfs count="19">
    <dxf>
      <font>
        <color rgb="FF000000"/>
      </font>
      <alignment horizontal="general" vertical="bottom" textRotation="0" wrapText="0" indent="0" justifyLastLine="0" shrinkToFit="0" readingOrder="0"/>
    </dxf>
    <dxf>
      <font>
        <color rgb="FF000000"/>
      </font>
      <numFmt numFmtId="166" formatCode="_-[$Rp-421]* #,##0.00_-;\-[$Rp-421]* #,##0.00_-;_-[$Rp-421]* &quot;-&quot;??_-;_-@_-"/>
      <alignment horizontal="general" vertical="bottom" textRotation="0" wrapText="0" indent="0" justifyLastLine="0" shrinkToFit="0" readingOrder="0"/>
    </dxf>
    <dxf>
      <font>
        <color rgb="FF000000"/>
      </font>
      <alignment horizontal="general" vertical="bottom" textRotation="0" wrapText="0" indent="0" justifyLastLine="0" shrinkToFit="0" readingOrder="0"/>
    </dxf>
    <dxf>
      <font>
        <color rgb="FF000000"/>
      </font>
      <alignment horizontal="general" vertical="bottom" textRotation="0" wrapText="0" indent="0" justifyLastLine="0" shrinkToFit="0" readingOrder="0"/>
    </dxf>
    <dxf>
      <font>
        <color rgb="FF000000"/>
      </font>
      <alignment horizontal="general" vertical="bottom" textRotation="0" wrapText="0" indent="0" justifyLastLine="0" shrinkToFit="0" readingOrder="0"/>
    </dxf>
    <dxf>
      <font>
        <color rgb="FF000000"/>
      </font>
      <numFmt numFmtId="165" formatCode="[$-421]dd\ mmmm\ yyyy;@"/>
      <alignment horizontal="general" vertical="bottom" textRotation="0" wrapText="0" indent="0" justifyLastLine="0" shrinkToFit="0" readingOrder="0"/>
    </dxf>
    <dxf>
      <font>
        <color rgb="FF000000"/>
      </font>
      <numFmt numFmtId="165" formatCode="[$-421]dd\ mmmm\ yyyy;@"/>
      <alignment horizontal="general" vertical="bottom" textRotation="0" wrapText="0" indent="0" justifyLastLine="0" shrinkToFit="0" readingOrder="0"/>
    </dxf>
    <dxf>
      <font>
        <color rgb="FF000000"/>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top"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6" formatCode="_-[$Rp-421]* #,##0.00_-;\-[$Rp-421]* #,##0.00_-;_-[$Rp-421]* &quot;-&quot;??_-;_-@_-"/>
    </dxf>
    <dxf>
      <numFmt numFmtId="0" formatCode="General"/>
      <border>
        <left style="thin">
          <color auto="1"/>
        </left>
      </border>
    </dxf>
    <dxf>
      <numFmt numFmtId="166" formatCode="_-[$Rp-421]* #,##0.00_-;\-[$Rp-421]* #,##0.00_-;_-[$Rp-421]* &quot;-&quot;??_-;_-@_-"/>
      <border diagonalUp="0" diagonalDown="0" outline="0">
        <left style="thin">
          <color auto="1"/>
        </left>
        <right style="thin">
          <color auto="1"/>
        </right>
        <top style="thin">
          <color auto="1"/>
        </top>
        <bottom style="thin">
          <color auto="1"/>
        </bottom>
      </border>
    </dxf>
    <dxf>
      <numFmt numFmtId="165" formatCode="[$-421]dd\ mmmm\ yy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30" formatCode="@"/>
      <border diagonalUp="0" diagonalDown="0">
        <left/>
        <right style="thin">
          <color auto="1"/>
        </right>
        <top style="thin">
          <color auto="1"/>
        </top>
        <bottom style="thin">
          <color auto="1"/>
        </bottom>
        <vertical/>
        <horizontal/>
      </border>
    </dxf>
    <dxf>
      <border outline="0">
        <left style="thin">
          <color auto="1"/>
        </left>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11/relationships/timelineCache" Target="timelineCaches/timeline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Analyst - Belajarfix.xlsx] Kelompok Total Nominal!PivotTable1</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Jumlah Donatur Berdasarkan</a:t>
            </a:r>
            <a:r>
              <a:rPr lang="id-ID" sz="1400" b="0" i="0" u="none" strike="noStrike" kern="1200" spc="0" baseline="0">
                <a:solidFill>
                  <a:sysClr val="windowText" lastClr="000000">
                    <a:lumMod val="65000"/>
                    <a:lumOff val="35000"/>
                  </a:sysClr>
                </a:solidFill>
              </a:rPr>
              <a:t> Kelompok</a:t>
            </a:r>
            <a:endParaRPr lang="en-US" sz="1400" b="0" i="0" u="none" strike="noStrike" kern="1200" spc="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dLbl>
          <c:idx val="0"/>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3"/>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4"/>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5"/>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s>
    <c:plotArea>
      <c:layout/>
      <c:lineChart>
        <c:grouping val="stacked"/>
        <c:varyColors val="0"/>
        <c:ser>
          <c:idx val="0"/>
          <c:order val="0"/>
          <c:tx>
            <c:strRef>
              <c:f>' Kelompok Total Nominal'!$B$3</c:f>
              <c:strCache>
                <c:ptCount val="1"/>
                <c:pt idx="0">
                  <c:v>Total</c:v>
                </c:pt>
              </c:strCache>
            </c:strRef>
          </c:tx>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dPt>
            <c:idx val="0"/>
            <c:marker>
              <c:symbol val="square"/>
              <c:size val="7"/>
              <c:spPr>
                <a:solidFill>
                  <a:srgbClr val="FFFF00"/>
                </a:solidFill>
                <a:ln w="9525">
                  <a:solidFill>
                    <a:schemeClr val="accent1"/>
                  </a:solidFill>
                  <a:miter lim="800000"/>
                </a:ln>
                <a:effectLst/>
              </c:spPr>
            </c:marker>
            <c:bubble3D val="0"/>
            <c:spPr>
              <a:ln w="28575" cap="sq">
                <a:solidFill>
                  <a:srgbClr val="92D050"/>
                </a:solidFill>
                <a:miter lim="800000"/>
              </a:ln>
              <a:effectLst/>
            </c:spPr>
            <c:extLst>
              <c:ext xmlns:c16="http://schemas.microsoft.com/office/drawing/2014/chart" uri="{C3380CC4-5D6E-409C-BE32-E72D297353CC}">
                <c16:uniqueId val="{00000001-596A-4B89-A499-8E7093F961F2}"/>
              </c:ext>
            </c:extLst>
          </c:dPt>
          <c:dPt>
            <c:idx val="1"/>
            <c:marker>
              <c:symbol val="square"/>
              <c:size val="7"/>
              <c:spPr>
                <a:solidFill>
                  <a:srgbClr val="FFFF00"/>
                </a:solidFill>
                <a:ln w="9525">
                  <a:solidFill>
                    <a:schemeClr val="accent1"/>
                  </a:solidFill>
                  <a:miter lim="800000"/>
                </a:ln>
                <a:effectLst/>
              </c:spPr>
            </c:marker>
            <c:bubble3D val="0"/>
            <c:spPr>
              <a:ln w="28575" cap="sq">
                <a:solidFill>
                  <a:srgbClr val="92D050"/>
                </a:solidFill>
                <a:miter lim="800000"/>
              </a:ln>
              <a:effectLst/>
            </c:spPr>
            <c:extLst>
              <c:ext xmlns:c16="http://schemas.microsoft.com/office/drawing/2014/chart" uri="{C3380CC4-5D6E-409C-BE32-E72D297353CC}">
                <c16:uniqueId val="{00000003-596A-4B89-A499-8E7093F961F2}"/>
              </c:ext>
            </c:extLst>
          </c:dPt>
          <c:dPt>
            <c:idx val="2"/>
            <c:marker>
              <c:symbol val="square"/>
              <c:size val="7"/>
              <c:spPr>
                <a:solidFill>
                  <a:srgbClr val="FFFF00"/>
                </a:solidFill>
                <a:ln w="9525">
                  <a:solidFill>
                    <a:schemeClr val="accent1"/>
                  </a:solidFill>
                  <a:miter lim="800000"/>
                </a:ln>
                <a:effectLst/>
              </c:spPr>
            </c:marker>
            <c:bubble3D val="0"/>
            <c:spPr>
              <a:ln w="28575" cap="sq">
                <a:solidFill>
                  <a:srgbClr val="92D050"/>
                </a:solidFill>
                <a:miter lim="800000"/>
              </a:ln>
              <a:effectLst/>
            </c:spPr>
            <c:extLst>
              <c:ext xmlns:c16="http://schemas.microsoft.com/office/drawing/2014/chart" uri="{C3380CC4-5D6E-409C-BE32-E72D297353CC}">
                <c16:uniqueId val="{00000005-596A-4B89-A499-8E7093F961F2}"/>
              </c:ext>
            </c:extLst>
          </c:dPt>
          <c:dPt>
            <c:idx val="3"/>
            <c:marker>
              <c:symbol val="square"/>
              <c:size val="7"/>
              <c:spPr>
                <a:solidFill>
                  <a:srgbClr val="FFFF00"/>
                </a:solidFill>
                <a:ln w="9525">
                  <a:solidFill>
                    <a:schemeClr val="accent1"/>
                  </a:solidFill>
                  <a:miter lim="800000"/>
                </a:ln>
                <a:effectLst/>
              </c:spPr>
            </c:marker>
            <c:bubble3D val="0"/>
            <c:spPr>
              <a:ln w="28575" cap="sq">
                <a:solidFill>
                  <a:srgbClr val="92D050"/>
                </a:solidFill>
                <a:miter lim="800000"/>
              </a:ln>
              <a:effectLst/>
            </c:spPr>
            <c:extLst>
              <c:ext xmlns:c16="http://schemas.microsoft.com/office/drawing/2014/chart" uri="{C3380CC4-5D6E-409C-BE32-E72D297353CC}">
                <c16:uniqueId val="{00000007-596A-4B89-A499-8E7093F961F2}"/>
              </c:ext>
            </c:extLst>
          </c:dPt>
          <c:dLbls>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Kelompok Total Nominal'!$A$4:$A$8</c:f>
              <c:strCache>
                <c:ptCount val="4"/>
                <c:pt idx="0">
                  <c:v>Bronze</c:v>
                </c:pt>
                <c:pt idx="1">
                  <c:v>Diamond</c:v>
                </c:pt>
                <c:pt idx="2">
                  <c:v>Gold</c:v>
                </c:pt>
                <c:pt idx="3">
                  <c:v>Silver</c:v>
                </c:pt>
              </c:strCache>
            </c:strRef>
          </c:cat>
          <c:val>
            <c:numRef>
              <c:f>' Kelompok Total Nominal'!$B$4:$B$8</c:f>
              <c:numCache>
                <c:formatCode>General</c:formatCode>
                <c:ptCount val="4"/>
                <c:pt idx="0">
                  <c:v>1</c:v>
                </c:pt>
                <c:pt idx="1">
                  <c:v>85</c:v>
                </c:pt>
                <c:pt idx="2">
                  <c:v>9</c:v>
                </c:pt>
                <c:pt idx="3">
                  <c:v>5</c:v>
                </c:pt>
              </c:numCache>
            </c:numRef>
          </c:val>
          <c:smooth val="1"/>
          <c:extLst>
            <c:ext xmlns:c16="http://schemas.microsoft.com/office/drawing/2014/chart" uri="{C3380CC4-5D6E-409C-BE32-E72D297353CC}">
              <c16:uniqueId val="{00000000-A28F-4453-9EFA-04F2F4A97458}"/>
            </c:ext>
          </c:extLst>
        </c:ser>
        <c:dLbls>
          <c:showLegendKey val="0"/>
          <c:showVal val="0"/>
          <c:showCatName val="0"/>
          <c:showSerName val="0"/>
          <c:showPercent val="0"/>
          <c:showBubbleSize val="0"/>
        </c:dLbls>
        <c:marker val="1"/>
        <c:smooth val="0"/>
        <c:axId val="1215033583"/>
        <c:axId val="1215020623"/>
      </c:lineChart>
      <c:catAx>
        <c:axId val="12150335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15020623"/>
        <c:crosses val="autoZero"/>
        <c:auto val="1"/>
        <c:lblAlgn val="ctr"/>
        <c:lblOffset val="100"/>
        <c:noMultiLvlLbl val="0"/>
      </c:catAx>
      <c:valAx>
        <c:axId val="1215020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150335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Analyst - Belajarfix.xlsx]Kelompok Total Frekuensi!PivotTable2</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Jumlah Donatur Berdasarkan </a:t>
            </a:r>
            <a:r>
              <a:rPr lang="id-ID" sz="1400" b="0" i="0" u="none" strike="noStrike" kern="1200" spc="0" baseline="0">
                <a:solidFill>
                  <a:sysClr val="windowText" lastClr="000000">
                    <a:lumMod val="65000"/>
                    <a:lumOff val="35000"/>
                  </a:sysClr>
                </a:solidFill>
              </a:rPr>
              <a:t>Status</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id-ID"/>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'Kelompok Total Frekuensi'!$B$3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014-46C0-B6A9-060F8DB5F5A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014-46C0-B6A9-060F8DB5F5A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014-46C0-B6A9-060F8DB5F5A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id-ID"/>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'Kelompok Total Frekuensi'!$A$4:$A$7</c:f>
              <c:strCache>
                <c:ptCount val="3"/>
                <c:pt idx="0">
                  <c:v>Aktif</c:v>
                </c:pt>
                <c:pt idx="1">
                  <c:v>Loyal</c:v>
                </c:pt>
                <c:pt idx="2">
                  <c:v>Pasif</c:v>
                </c:pt>
              </c:strCache>
            </c:strRef>
          </c:cat>
          <c:val>
            <c:numRef>
              <c:f>'Kelompok Total Frekuensi'!$B$4:$B$7</c:f>
              <c:numCache>
                <c:formatCode>General</c:formatCode>
                <c:ptCount val="3"/>
                <c:pt idx="0">
                  <c:v>74</c:v>
                </c:pt>
                <c:pt idx="1">
                  <c:v>13</c:v>
                </c:pt>
                <c:pt idx="2">
                  <c:v>13</c:v>
                </c:pt>
              </c:numCache>
            </c:numRef>
          </c:val>
          <c:extLst>
            <c:ext xmlns:c16="http://schemas.microsoft.com/office/drawing/2014/chart" uri="{C3380CC4-5D6E-409C-BE32-E72D297353CC}">
              <c16:uniqueId val="{00000000-A2B5-47F5-8F94-29905AE374A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Analyst - Belajarfix.xlsx]10 Besar Donatur!PivotTable1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10 Donatur dengan Donasi Terbesar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15:layout>
                <c:manualLayout>
                  <c:w val="0.20903010033444819"/>
                  <c:h val="0.16645851560221639"/>
                </c:manualLayout>
              </c15:layout>
            </c:ext>
          </c:extLst>
        </c:dLbl>
      </c:pivotFmt>
      <c:pivotFmt>
        <c:idx val="2"/>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15:layout>
                <c:manualLayout>
                  <c:w val="0.22017837235228543"/>
                  <c:h val="0.17048382821279631"/>
                </c:manualLayout>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47148719704351338"/>
          <c:y val="0.25229002624671915"/>
          <c:w val="0.44490076282270735"/>
          <c:h val="0.69969497056111241"/>
        </c:manualLayout>
      </c:layout>
      <c:bar3DChart>
        <c:barDir val="bar"/>
        <c:grouping val="clustered"/>
        <c:varyColors val="0"/>
        <c:ser>
          <c:idx val="0"/>
          <c:order val="0"/>
          <c:tx>
            <c:strRef>
              <c:f>'10 Besar Donatur'!$B$3</c:f>
              <c:strCache>
                <c:ptCount val="1"/>
                <c:pt idx="0">
                  <c:v>Total</c:v>
                </c:pt>
              </c:strCache>
            </c:strRef>
          </c:tx>
          <c:spPr>
            <a:solidFill>
              <a:schemeClr val="accent6"/>
            </a:solidFill>
            <a:ln>
              <a:noFill/>
            </a:ln>
            <a:effectLst/>
            <a:sp3d/>
          </c:spPr>
          <c:invertIfNegative val="0"/>
          <c:dLbls>
            <c:dLbl>
              <c:idx val="0"/>
              <c:showLegendKey val="0"/>
              <c:showVal val="1"/>
              <c:showCatName val="0"/>
              <c:showSerName val="0"/>
              <c:showPercent val="0"/>
              <c:showBubbleSize val="0"/>
              <c:extLst>
                <c:ext xmlns:c15="http://schemas.microsoft.com/office/drawing/2012/chart" uri="{CE6537A1-D6FC-4f65-9D91-7224C49458BB}">
                  <c15:layout>
                    <c:manualLayout>
                      <c:w val="0.22017837235228543"/>
                      <c:h val="0.17048382821279631"/>
                    </c:manualLayout>
                  </c15:layout>
                </c:ext>
                <c:ext xmlns:c16="http://schemas.microsoft.com/office/drawing/2014/chart" uri="{C3380CC4-5D6E-409C-BE32-E72D297353CC}">
                  <c16:uniqueId val="{00000013-498F-452C-ADC1-943A9AFE192D}"/>
                </c:ext>
              </c:extLst>
            </c:dLbl>
            <c:dLbl>
              <c:idx val="6"/>
              <c:showLegendKey val="0"/>
              <c:showVal val="1"/>
              <c:showCatName val="0"/>
              <c:showSerName val="0"/>
              <c:showPercent val="0"/>
              <c:showBubbleSize val="0"/>
              <c:extLst>
                <c:ext xmlns:c15="http://schemas.microsoft.com/office/drawing/2012/chart" uri="{CE6537A1-D6FC-4f65-9D91-7224C49458BB}">
                  <c15:layout>
                    <c:manualLayout>
                      <c:w val="0.20903010033444819"/>
                      <c:h val="0.16645851560221639"/>
                    </c:manualLayout>
                  </c15:layout>
                </c:ext>
                <c:ext xmlns:c16="http://schemas.microsoft.com/office/drawing/2014/chart" uri="{C3380CC4-5D6E-409C-BE32-E72D297353CC}">
                  <c16:uniqueId val="{00000012-498F-452C-ADC1-943A9AFE192D}"/>
                </c:ext>
              </c:extLst>
            </c:dLbl>
            <c:dLbl>
              <c:idx val="8"/>
              <c:showLegendKey val="0"/>
              <c:showVal val="1"/>
              <c:showCatName val="0"/>
              <c:showSerName val="0"/>
              <c:showPercent val="0"/>
              <c:showBubbleSize val="0"/>
              <c:extLst>
                <c:ext xmlns:c15="http://schemas.microsoft.com/office/drawing/2012/chart" uri="{CE6537A1-D6FC-4f65-9D91-7224C49458BB}">
                  <c15:layout>
                    <c:manualLayout>
                      <c:w val="0.20903010033444819"/>
                      <c:h val="0.16645851560221639"/>
                    </c:manualLayout>
                  </c15:layout>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Besar Donatur'!$A$4:$A$13</c:f>
              <c:strCache>
                <c:ptCount val="9"/>
                <c:pt idx="0">
                  <c:v>Carub Namaga</c:v>
                </c:pt>
                <c:pt idx="1">
                  <c:v>Cut Dina Kuswandari, S.Psi</c:v>
                </c:pt>
                <c:pt idx="2">
                  <c:v>H. Cakrawala Winarno</c:v>
                </c:pt>
                <c:pt idx="3">
                  <c:v>Ir. Rendy Nasyiah, M.Kom.</c:v>
                </c:pt>
                <c:pt idx="4">
                  <c:v>Jamil Astuti</c:v>
                </c:pt>
                <c:pt idx="5">
                  <c:v>Juli Habibi</c:v>
                </c:pt>
                <c:pt idx="6">
                  <c:v>Puti Ardianto</c:v>
                </c:pt>
                <c:pt idx="7">
                  <c:v>Titi Laksmiwati</c:v>
                </c:pt>
                <c:pt idx="8">
                  <c:v>Wahyu Uyainah</c:v>
                </c:pt>
              </c:strCache>
            </c:strRef>
          </c:cat>
          <c:val>
            <c:numRef>
              <c:f>'10 Besar Donatur'!$B$4:$B$13</c:f>
              <c:numCache>
                <c:formatCode>_-[$Rp-421]* #,##0.00_-;\-[$Rp-421]* #,##0.00_-;_-[$Rp-421]* "-"??_-;_-@_-</c:formatCode>
                <c:ptCount val="9"/>
                <c:pt idx="0">
                  <c:v>115650000</c:v>
                </c:pt>
                <c:pt idx="1">
                  <c:v>97200000</c:v>
                </c:pt>
                <c:pt idx="2">
                  <c:v>86000000</c:v>
                </c:pt>
                <c:pt idx="3">
                  <c:v>67900000</c:v>
                </c:pt>
                <c:pt idx="4">
                  <c:v>86000000</c:v>
                </c:pt>
                <c:pt idx="5">
                  <c:v>73400000</c:v>
                </c:pt>
                <c:pt idx="6">
                  <c:v>135600000</c:v>
                </c:pt>
                <c:pt idx="7">
                  <c:v>84750000</c:v>
                </c:pt>
                <c:pt idx="8">
                  <c:v>73750000</c:v>
                </c:pt>
              </c:numCache>
            </c:numRef>
          </c:val>
          <c:extLst>
            <c:ext xmlns:c16="http://schemas.microsoft.com/office/drawing/2014/chart" uri="{C3380CC4-5D6E-409C-BE32-E72D297353CC}">
              <c16:uniqueId val="{00000000-498F-452C-ADC1-943A9AFE192D}"/>
            </c:ext>
          </c:extLst>
        </c:ser>
        <c:dLbls>
          <c:showLegendKey val="0"/>
          <c:showVal val="1"/>
          <c:showCatName val="0"/>
          <c:showSerName val="0"/>
          <c:showPercent val="0"/>
          <c:showBubbleSize val="0"/>
        </c:dLbls>
        <c:gapWidth val="150"/>
        <c:shape val="box"/>
        <c:axId val="1206301872"/>
        <c:axId val="1206292272"/>
        <c:axId val="0"/>
      </c:bar3DChart>
      <c:catAx>
        <c:axId val="12063018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06292272"/>
        <c:crosses val="autoZero"/>
        <c:auto val="1"/>
        <c:lblAlgn val="ctr"/>
        <c:lblOffset val="100"/>
        <c:noMultiLvlLbl val="0"/>
      </c:catAx>
      <c:valAx>
        <c:axId val="1206292272"/>
        <c:scaling>
          <c:orientation val="minMax"/>
        </c:scaling>
        <c:delete val="1"/>
        <c:axPos val="b"/>
        <c:numFmt formatCode="_-[$Rp-421]* #,##0.00_-;\-[$Rp-421]* #,##0.00_-;_-[$Rp-421]* &quot;-&quot;??_-;_-@_-" sourceLinked="1"/>
        <c:majorTickMark val="none"/>
        <c:minorTickMark val="none"/>
        <c:tickLblPos val="nextTo"/>
        <c:crossAx val="1206301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Analyst - Belajarfix.xlsx] Kelompok Total Nominal!PivotTable1</c:name>
    <c:fmtId val="1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Jumlah Donatur Berdasarkan</a:t>
            </a:r>
            <a:r>
              <a:rPr lang="id-ID" sz="1400" b="0" i="0" u="none" strike="noStrike" kern="1200" spc="0" baseline="0">
                <a:solidFill>
                  <a:sysClr val="windowText" lastClr="000000">
                    <a:lumMod val="65000"/>
                    <a:lumOff val="35000"/>
                  </a:sysClr>
                </a:solidFill>
              </a:rPr>
              <a:t> Kelompok</a:t>
            </a:r>
            <a:endParaRPr lang="en-US" sz="1400" b="0" i="0" u="none" strike="noStrike" kern="1200" spc="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dLbl>
          <c:idx val="0"/>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3"/>
        <c:spPr>
          <a:solidFill>
            <a:schemeClr val="accent1"/>
          </a:solidFill>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4"/>
        <c:spPr>
          <a:solidFill>
            <a:schemeClr val="accent1"/>
          </a:solidFill>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5"/>
        <c:spPr>
          <a:solidFill>
            <a:schemeClr val="accent1"/>
          </a:solidFill>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6"/>
        <c:spPr>
          <a:solidFill>
            <a:schemeClr val="accent1"/>
          </a:solidFill>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dLbl>
          <c:idx val="0"/>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8"/>
        <c:spPr>
          <a:solidFill>
            <a:schemeClr val="accent1"/>
          </a:solidFill>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9"/>
        <c:spPr>
          <a:solidFill>
            <a:schemeClr val="accent1"/>
          </a:solidFill>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10"/>
        <c:spPr>
          <a:solidFill>
            <a:schemeClr val="accent1"/>
          </a:solidFill>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11"/>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dLbl>
          <c:idx val="0"/>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extLst>
            <c:ext xmlns:c15="http://schemas.microsoft.com/office/drawing/2012/chart" uri="{CE6537A1-D6FC-4f65-9D91-7224C49458BB}"/>
          </c:extLst>
        </c:dLbl>
      </c:pivotFmt>
      <c:pivotFmt>
        <c:idx val="12"/>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13"/>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14"/>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
        <c:idx val="15"/>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pivotFmt>
    </c:pivotFmts>
    <c:plotArea>
      <c:layout/>
      <c:lineChart>
        <c:grouping val="stacked"/>
        <c:varyColors val="0"/>
        <c:ser>
          <c:idx val="0"/>
          <c:order val="0"/>
          <c:tx>
            <c:strRef>
              <c:f>' Kelompok Total Nominal'!$B$3</c:f>
              <c:strCache>
                <c:ptCount val="1"/>
                <c:pt idx="0">
                  <c:v>Total</c:v>
                </c:pt>
              </c:strCache>
            </c:strRef>
          </c:tx>
          <c:spPr>
            <a:ln w="28575" cap="sq">
              <a:solidFill>
                <a:srgbClr val="92D050"/>
              </a:solidFill>
              <a:miter lim="800000"/>
            </a:ln>
            <a:effectLst/>
          </c:spPr>
          <c:marker>
            <c:symbol val="square"/>
            <c:size val="7"/>
            <c:spPr>
              <a:solidFill>
                <a:srgbClr val="FFFF00"/>
              </a:solidFill>
              <a:ln w="9525">
                <a:solidFill>
                  <a:schemeClr val="accent1"/>
                </a:solidFill>
                <a:miter lim="800000"/>
              </a:ln>
              <a:effectLst/>
            </c:spPr>
          </c:marker>
          <c:dPt>
            <c:idx val="0"/>
            <c:marker>
              <c:symbol val="square"/>
              <c:size val="7"/>
              <c:spPr>
                <a:solidFill>
                  <a:srgbClr val="FFFF00"/>
                </a:solidFill>
                <a:ln w="9525">
                  <a:solidFill>
                    <a:schemeClr val="accent1"/>
                  </a:solidFill>
                  <a:miter lim="800000"/>
                </a:ln>
                <a:effectLst/>
              </c:spPr>
            </c:marker>
            <c:bubble3D val="0"/>
            <c:spPr>
              <a:ln w="28575" cap="sq">
                <a:solidFill>
                  <a:srgbClr val="92D050"/>
                </a:solidFill>
                <a:miter lim="800000"/>
              </a:ln>
              <a:effectLst/>
            </c:spPr>
            <c:extLst>
              <c:ext xmlns:c16="http://schemas.microsoft.com/office/drawing/2014/chart" uri="{C3380CC4-5D6E-409C-BE32-E72D297353CC}">
                <c16:uniqueId val="{00000001-3C9B-41E1-96EE-230548177CAF}"/>
              </c:ext>
            </c:extLst>
          </c:dPt>
          <c:dPt>
            <c:idx val="1"/>
            <c:marker>
              <c:symbol val="square"/>
              <c:size val="7"/>
              <c:spPr>
                <a:solidFill>
                  <a:srgbClr val="FFFF00"/>
                </a:solidFill>
                <a:ln w="9525">
                  <a:solidFill>
                    <a:schemeClr val="accent1"/>
                  </a:solidFill>
                  <a:miter lim="800000"/>
                </a:ln>
                <a:effectLst/>
              </c:spPr>
            </c:marker>
            <c:bubble3D val="0"/>
            <c:spPr>
              <a:ln w="28575" cap="sq">
                <a:solidFill>
                  <a:srgbClr val="92D050"/>
                </a:solidFill>
                <a:miter lim="800000"/>
              </a:ln>
              <a:effectLst/>
            </c:spPr>
            <c:extLst>
              <c:ext xmlns:c16="http://schemas.microsoft.com/office/drawing/2014/chart" uri="{C3380CC4-5D6E-409C-BE32-E72D297353CC}">
                <c16:uniqueId val="{00000003-3C9B-41E1-96EE-230548177CAF}"/>
              </c:ext>
            </c:extLst>
          </c:dPt>
          <c:dPt>
            <c:idx val="2"/>
            <c:marker>
              <c:symbol val="square"/>
              <c:size val="7"/>
              <c:spPr>
                <a:solidFill>
                  <a:srgbClr val="FFFF00"/>
                </a:solidFill>
                <a:ln w="9525">
                  <a:solidFill>
                    <a:schemeClr val="accent1"/>
                  </a:solidFill>
                  <a:miter lim="800000"/>
                </a:ln>
                <a:effectLst/>
              </c:spPr>
            </c:marker>
            <c:bubble3D val="0"/>
            <c:spPr>
              <a:ln w="28575" cap="sq">
                <a:solidFill>
                  <a:srgbClr val="92D050"/>
                </a:solidFill>
                <a:miter lim="800000"/>
              </a:ln>
              <a:effectLst/>
            </c:spPr>
            <c:extLst>
              <c:ext xmlns:c16="http://schemas.microsoft.com/office/drawing/2014/chart" uri="{C3380CC4-5D6E-409C-BE32-E72D297353CC}">
                <c16:uniqueId val="{00000005-3C9B-41E1-96EE-230548177CAF}"/>
              </c:ext>
            </c:extLst>
          </c:dPt>
          <c:dPt>
            <c:idx val="3"/>
            <c:marker>
              <c:symbol val="square"/>
              <c:size val="7"/>
              <c:spPr>
                <a:solidFill>
                  <a:srgbClr val="FFFF00"/>
                </a:solidFill>
                <a:ln w="9525">
                  <a:solidFill>
                    <a:schemeClr val="accent1"/>
                  </a:solidFill>
                  <a:miter lim="800000"/>
                </a:ln>
                <a:effectLst/>
              </c:spPr>
            </c:marker>
            <c:bubble3D val="0"/>
            <c:spPr>
              <a:ln w="28575" cap="sq">
                <a:solidFill>
                  <a:srgbClr val="92D050"/>
                </a:solidFill>
                <a:miter lim="800000"/>
              </a:ln>
              <a:effectLst/>
            </c:spPr>
            <c:extLst>
              <c:ext xmlns:c16="http://schemas.microsoft.com/office/drawing/2014/chart" uri="{C3380CC4-5D6E-409C-BE32-E72D297353CC}">
                <c16:uniqueId val="{00000007-3C9B-41E1-96EE-230548177CAF}"/>
              </c:ext>
            </c:extLst>
          </c:dPt>
          <c:dLbls>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Kelompok Total Nominal'!$A$4:$A$8</c:f>
              <c:strCache>
                <c:ptCount val="4"/>
                <c:pt idx="0">
                  <c:v>Bronze</c:v>
                </c:pt>
                <c:pt idx="1">
                  <c:v>Diamond</c:v>
                </c:pt>
                <c:pt idx="2">
                  <c:v>Gold</c:v>
                </c:pt>
                <c:pt idx="3">
                  <c:v>Silver</c:v>
                </c:pt>
              </c:strCache>
            </c:strRef>
          </c:cat>
          <c:val>
            <c:numRef>
              <c:f>' Kelompok Total Nominal'!$B$4:$B$8</c:f>
              <c:numCache>
                <c:formatCode>General</c:formatCode>
                <c:ptCount val="4"/>
                <c:pt idx="0">
                  <c:v>1</c:v>
                </c:pt>
                <c:pt idx="1">
                  <c:v>85</c:v>
                </c:pt>
                <c:pt idx="2">
                  <c:v>9</c:v>
                </c:pt>
                <c:pt idx="3">
                  <c:v>5</c:v>
                </c:pt>
              </c:numCache>
            </c:numRef>
          </c:val>
          <c:smooth val="1"/>
          <c:extLst>
            <c:ext xmlns:c16="http://schemas.microsoft.com/office/drawing/2014/chart" uri="{C3380CC4-5D6E-409C-BE32-E72D297353CC}">
              <c16:uniqueId val="{00000008-3C9B-41E1-96EE-230548177CAF}"/>
            </c:ext>
          </c:extLst>
        </c:ser>
        <c:dLbls>
          <c:showLegendKey val="0"/>
          <c:showVal val="0"/>
          <c:showCatName val="0"/>
          <c:showSerName val="0"/>
          <c:showPercent val="0"/>
          <c:showBubbleSize val="0"/>
        </c:dLbls>
        <c:marker val="1"/>
        <c:smooth val="0"/>
        <c:axId val="1215033583"/>
        <c:axId val="1215020623"/>
      </c:lineChart>
      <c:catAx>
        <c:axId val="12150335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15020623"/>
        <c:crosses val="autoZero"/>
        <c:auto val="1"/>
        <c:lblAlgn val="ctr"/>
        <c:lblOffset val="100"/>
        <c:noMultiLvlLbl val="0"/>
      </c:catAx>
      <c:valAx>
        <c:axId val="1215020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150335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Analyst - Belajarfix.xlsx]Kelompok Total Frekuensi!PivotTable2</c:name>
    <c:fmtId val="9"/>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Jumlah Donatur Berdasarkan </a:t>
            </a:r>
            <a:r>
              <a:rPr lang="id-ID" sz="1400" b="0" i="0" u="none" strike="noStrike" kern="1200" spc="0" baseline="0">
                <a:solidFill>
                  <a:sysClr val="windowText" lastClr="000000">
                    <a:lumMod val="65000"/>
                    <a:lumOff val="35000"/>
                  </a:sysClr>
                </a:solidFill>
              </a:rPr>
              <a:t>Status</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id-ID"/>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'Kelompok Total Frekuensi'!$B$3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7D2-4F3F-8C22-7E056454092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7D2-4F3F-8C22-7E056454092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7D2-4F3F-8C22-7E0564540924}"/>
              </c:ext>
            </c:extLst>
          </c:dPt>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id-ID"/>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'Kelompok Total Frekuensi'!$A$4:$A$7</c:f>
              <c:strCache>
                <c:ptCount val="3"/>
                <c:pt idx="0">
                  <c:v>Aktif</c:v>
                </c:pt>
                <c:pt idx="1">
                  <c:v>Loyal</c:v>
                </c:pt>
                <c:pt idx="2">
                  <c:v>Pasif</c:v>
                </c:pt>
              </c:strCache>
            </c:strRef>
          </c:cat>
          <c:val>
            <c:numRef>
              <c:f>'Kelompok Total Frekuensi'!$B$4:$B$7</c:f>
              <c:numCache>
                <c:formatCode>General</c:formatCode>
                <c:ptCount val="3"/>
                <c:pt idx="0">
                  <c:v>74</c:v>
                </c:pt>
                <c:pt idx="1">
                  <c:v>13</c:v>
                </c:pt>
                <c:pt idx="2">
                  <c:v>13</c:v>
                </c:pt>
              </c:numCache>
            </c:numRef>
          </c:val>
          <c:extLst>
            <c:ext xmlns:c16="http://schemas.microsoft.com/office/drawing/2014/chart" uri="{C3380CC4-5D6E-409C-BE32-E72D297353CC}">
              <c16:uniqueId val="{00000006-F7D2-4F3F-8C22-7E0564540924}"/>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9899137358104479"/>
          <c:y val="0.46440711092728582"/>
          <c:w val="7.3979135807708082E-2"/>
          <c:h val="0.192142428935255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Analyst - Belajarfix.xlsx]10 Besar Donatur!PivotTable1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10 Donatur dengan Donasi Terbesar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15:layout>
                <c:manualLayout>
                  <c:w val="0.20903010033444819"/>
                  <c:h val="0.16645851560221639"/>
                </c:manualLayout>
              </c15:layout>
            </c:ext>
          </c:extLst>
        </c:dLbl>
      </c:pivotFmt>
      <c:pivotFmt>
        <c:idx val="2"/>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15:layout>
                <c:manualLayout>
                  <c:w val="0.22017837235228543"/>
                  <c:h val="0.17048382821279631"/>
                </c:manualLayout>
              </c15:layout>
            </c:ext>
          </c:extLst>
        </c:dLbl>
      </c:pivotFmt>
      <c:pivotFmt>
        <c:idx val="3"/>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15:layout>
                <c:manualLayout>
                  <c:w val="0.22017837235228543"/>
                  <c:h val="0.17048382821279631"/>
                </c:manualLayout>
              </c15:layout>
            </c:ext>
          </c:extLst>
        </c:dLbl>
      </c:pivotFmt>
      <c:pivotFmt>
        <c:idx val="5"/>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15:layout>
                <c:manualLayout>
                  <c:w val="0.20903010033444819"/>
                  <c:h val="0.16645851560221639"/>
                </c:manualLayout>
              </c15:layout>
            </c:ext>
          </c:extLst>
        </c:dLbl>
      </c:pivotFmt>
      <c:pivotFmt>
        <c:idx val="6"/>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15:layout>
                <c:manualLayout>
                  <c:w val="0.22017837235228543"/>
                  <c:h val="0.17048382821279631"/>
                </c:manualLayout>
              </c15:layout>
            </c:ext>
          </c:extLst>
        </c:dLbl>
      </c:pivotFmt>
      <c:pivotFmt>
        <c:idx val="8"/>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extLst>
            <c:ext xmlns:c15="http://schemas.microsoft.com/office/drawing/2012/chart" uri="{CE6537A1-D6FC-4f65-9D91-7224C49458BB}">
              <c15:layout>
                <c:manualLayout>
                  <c:w val="0.20903010033444819"/>
                  <c:h val="0.16645851560221639"/>
                </c:manualLayout>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47148719704351338"/>
          <c:y val="0.25229002624671915"/>
          <c:w val="0.44490076282270735"/>
          <c:h val="0.69969497056111241"/>
        </c:manualLayout>
      </c:layout>
      <c:bar3DChart>
        <c:barDir val="bar"/>
        <c:grouping val="clustered"/>
        <c:varyColors val="0"/>
        <c:ser>
          <c:idx val="0"/>
          <c:order val="0"/>
          <c:tx>
            <c:strRef>
              <c:f>'10 Besar Donatur'!$B$3</c:f>
              <c:strCache>
                <c:ptCount val="1"/>
                <c:pt idx="0">
                  <c:v>Total</c:v>
                </c:pt>
              </c:strCache>
            </c:strRef>
          </c:tx>
          <c:spPr>
            <a:solidFill>
              <a:schemeClr val="accent6"/>
            </a:solidFill>
            <a:ln>
              <a:noFill/>
            </a:ln>
            <a:effectLst/>
            <a:sp3d/>
          </c:spPr>
          <c:invertIfNegative val="0"/>
          <c:dLbls>
            <c:dLbl>
              <c:idx val="0"/>
              <c:showLegendKey val="0"/>
              <c:showVal val="1"/>
              <c:showCatName val="0"/>
              <c:showSerName val="0"/>
              <c:showPercent val="0"/>
              <c:showBubbleSize val="0"/>
              <c:extLst>
                <c:ext xmlns:c15="http://schemas.microsoft.com/office/drawing/2012/chart" uri="{CE6537A1-D6FC-4f65-9D91-7224C49458BB}">
                  <c15:layout>
                    <c:manualLayout>
                      <c:w val="0.22017837235228543"/>
                      <c:h val="0.17048382821279631"/>
                    </c:manualLayout>
                  </c15:layout>
                </c:ext>
                <c:ext xmlns:c16="http://schemas.microsoft.com/office/drawing/2014/chart" uri="{C3380CC4-5D6E-409C-BE32-E72D297353CC}">
                  <c16:uniqueId val="{00000000-7DB1-46D3-8D18-948D8C262122}"/>
                </c:ext>
              </c:extLst>
            </c:dLbl>
            <c:dLbl>
              <c:idx val="6"/>
              <c:showLegendKey val="0"/>
              <c:showVal val="1"/>
              <c:showCatName val="0"/>
              <c:showSerName val="0"/>
              <c:showPercent val="0"/>
              <c:showBubbleSize val="0"/>
              <c:extLst>
                <c:ext xmlns:c15="http://schemas.microsoft.com/office/drawing/2012/chart" uri="{CE6537A1-D6FC-4f65-9D91-7224C49458BB}">
                  <c15:layout>
                    <c:manualLayout>
                      <c:w val="0.20903010033444819"/>
                      <c:h val="0.16645851560221639"/>
                    </c:manualLayout>
                  </c15:layout>
                </c:ext>
                <c:ext xmlns:c16="http://schemas.microsoft.com/office/drawing/2014/chart" uri="{C3380CC4-5D6E-409C-BE32-E72D297353CC}">
                  <c16:uniqueId val="{00000001-7DB1-46D3-8D18-948D8C26212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Besar Donatur'!$A$4:$A$13</c:f>
              <c:strCache>
                <c:ptCount val="9"/>
                <c:pt idx="0">
                  <c:v>Carub Namaga</c:v>
                </c:pt>
                <c:pt idx="1">
                  <c:v>Cut Dina Kuswandari, S.Psi</c:v>
                </c:pt>
                <c:pt idx="2">
                  <c:v>H. Cakrawala Winarno</c:v>
                </c:pt>
                <c:pt idx="3">
                  <c:v>Ir. Rendy Nasyiah, M.Kom.</c:v>
                </c:pt>
                <c:pt idx="4">
                  <c:v>Jamil Astuti</c:v>
                </c:pt>
                <c:pt idx="5">
                  <c:v>Juli Habibi</c:v>
                </c:pt>
                <c:pt idx="6">
                  <c:v>Puti Ardianto</c:v>
                </c:pt>
                <c:pt idx="7">
                  <c:v>Titi Laksmiwati</c:v>
                </c:pt>
                <c:pt idx="8">
                  <c:v>Wahyu Uyainah</c:v>
                </c:pt>
              </c:strCache>
            </c:strRef>
          </c:cat>
          <c:val>
            <c:numRef>
              <c:f>'10 Besar Donatur'!$B$4:$B$13</c:f>
              <c:numCache>
                <c:formatCode>_-[$Rp-421]* #,##0.00_-;\-[$Rp-421]* #,##0.00_-;_-[$Rp-421]* "-"??_-;_-@_-</c:formatCode>
                <c:ptCount val="9"/>
                <c:pt idx="0">
                  <c:v>115650000</c:v>
                </c:pt>
                <c:pt idx="1">
                  <c:v>97200000</c:v>
                </c:pt>
                <c:pt idx="2">
                  <c:v>86000000</c:v>
                </c:pt>
                <c:pt idx="3">
                  <c:v>67900000</c:v>
                </c:pt>
                <c:pt idx="4">
                  <c:v>86000000</c:v>
                </c:pt>
                <c:pt idx="5">
                  <c:v>73400000</c:v>
                </c:pt>
                <c:pt idx="6">
                  <c:v>135600000</c:v>
                </c:pt>
                <c:pt idx="7">
                  <c:v>84750000</c:v>
                </c:pt>
                <c:pt idx="8">
                  <c:v>73750000</c:v>
                </c:pt>
              </c:numCache>
            </c:numRef>
          </c:val>
          <c:extLst>
            <c:ext xmlns:c16="http://schemas.microsoft.com/office/drawing/2014/chart" uri="{C3380CC4-5D6E-409C-BE32-E72D297353CC}">
              <c16:uniqueId val="{00000002-7DB1-46D3-8D18-948D8C262122}"/>
            </c:ext>
          </c:extLst>
        </c:ser>
        <c:dLbls>
          <c:showLegendKey val="0"/>
          <c:showVal val="1"/>
          <c:showCatName val="0"/>
          <c:showSerName val="0"/>
          <c:showPercent val="0"/>
          <c:showBubbleSize val="0"/>
        </c:dLbls>
        <c:gapWidth val="150"/>
        <c:shape val="box"/>
        <c:axId val="1206301872"/>
        <c:axId val="1206292272"/>
        <c:axId val="0"/>
      </c:bar3DChart>
      <c:catAx>
        <c:axId val="12063018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06292272"/>
        <c:crosses val="autoZero"/>
        <c:auto val="1"/>
        <c:lblAlgn val="ctr"/>
        <c:lblOffset val="100"/>
        <c:noMultiLvlLbl val="0"/>
      </c:catAx>
      <c:valAx>
        <c:axId val="1206292272"/>
        <c:scaling>
          <c:orientation val="minMax"/>
        </c:scaling>
        <c:delete val="1"/>
        <c:axPos val="b"/>
        <c:numFmt formatCode="_-[$Rp-421]* #,##0.00_-;\-[$Rp-421]* #,##0.00_-;_-[$Rp-421]* &quot;-&quot;??_-;_-@_-" sourceLinked="1"/>
        <c:majorTickMark val="none"/>
        <c:minorTickMark val="none"/>
        <c:tickLblPos val="nextTo"/>
        <c:crossAx val="1206301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365760</xdr:colOff>
      <xdr:row>3</xdr:row>
      <xdr:rowOff>19050</xdr:rowOff>
    </xdr:from>
    <xdr:to>
      <xdr:col>6</xdr:col>
      <xdr:colOff>15240</xdr:colOff>
      <xdr:row>18</xdr:row>
      <xdr:rowOff>19050</xdr:rowOff>
    </xdr:to>
    <xdr:graphicFrame macro="">
      <xdr:nvGraphicFramePr>
        <xdr:cNvPr id="4" name="Bagan 3">
          <a:extLst>
            <a:ext uri="{FF2B5EF4-FFF2-40B4-BE49-F238E27FC236}">
              <a16:creationId xmlns:a16="http://schemas.microsoft.com/office/drawing/2014/main" id="{F7DF0680-B4E2-267D-4BC1-472102435F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190500</xdr:colOff>
      <xdr:row>6</xdr:row>
      <xdr:rowOff>110490</xdr:rowOff>
    </xdr:from>
    <xdr:to>
      <xdr:col>7</xdr:col>
      <xdr:colOff>655320</xdr:colOff>
      <xdr:row>21</xdr:row>
      <xdr:rowOff>110490</xdr:rowOff>
    </xdr:to>
    <xdr:graphicFrame macro="">
      <xdr:nvGraphicFramePr>
        <xdr:cNvPr id="2" name="Bagan 1">
          <a:extLst>
            <a:ext uri="{FF2B5EF4-FFF2-40B4-BE49-F238E27FC236}">
              <a16:creationId xmlns:a16="http://schemas.microsoft.com/office/drawing/2014/main" id="{189B32B7-E1F0-8AD1-F522-1ED0F07D90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312420</xdr:colOff>
      <xdr:row>3</xdr:row>
      <xdr:rowOff>110490</xdr:rowOff>
    </xdr:from>
    <xdr:to>
      <xdr:col>6</xdr:col>
      <xdr:colOff>388620</xdr:colOff>
      <xdr:row>18</xdr:row>
      <xdr:rowOff>45720</xdr:rowOff>
    </xdr:to>
    <xdr:graphicFrame macro="">
      <xdr:nvGraphicFramePr>
        <xdr:cNvPr id="2" name="Bagan 1">
          <a:extLst>
            <a:ext uri="{FF2B5EF4-FFF2-40B4-BE49-F238E27FC236}">
              <a16:creationId xmlns:a16="http://schemas.microsoft.com/office/drawing/2014/main" id="{02A1DAC8-6DDE-9374-3DBD-08A7C0636B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11</xdr:col>
      <xdr:colOff>2</xdr:colOff>
      <xdr:row>17</xdr:row>
      <xdr:rowOff>168718</xdr:rowOff>
    </xdr:from>
    <xdr:to>
      <xdr:col>14</xdr:col>
      <xdr:colOff>265045</xdr:colOff>
      <xdr:row>33</xdr:row>
      <xdr:rowOff>33132</xdr:rowOff>
    </xdr:to>
    <mc:AlternateContent xmlns:mc="http://schemas.openxmlformats.org/markup-compatibility/2006">
      <mc:Choice xmlns:a14="http://schemas.microsoft.com/office/drawing/2010/main" Requires="a14">
        <xdr:graphicFrame macro="">
          <xdr:nvGraphicFramePr>
            <xdr:cNvPr id="6" name="Kelompok 1">
              <a:extLst>
                <a:ext uri="{FF2B5EF4-FFF2-40B4-BE49-F238E27FC236}">
                  <a16:creationId xmlns:a16="http://schemas.microsoft.com/office/drawing/2014/main" id="{B0B328CF-1762-8046-93D8-0E20F851BB16}"/>
                </a:ext>
              </a:extLst>
            </xdr:cNvPr>
            <xdr:cNvGraphicFramePr/>
          </xdr:nvGraphicFramePr>
          <xdr:xfrm>
            <a:off x="0" y="0"/>
            <a:ext cx="0" cy="0"/>
          </xdr:xfrm>
          <a:graphic>
            <a:graphicData uri="http://schemas.microsoft.com/office/drawing/2010/slicer">
              <sle:slicer xmlns:sle="http://schemas.microsoft.com/office/drawing/2010/slicer" name="Kelompok 1"/>
            </a:graphicData>
          </a:graphic>
        </xdr:graphicFrame>
      </mc:Choice>
      <mc:Fallback>
        <xdr:sp macro="" textlink="">
          <xdr:nvSpPr>
            <xdr:cNvPr id="0" name=""/>
            <xdr:cNvSpPr>
              <a:spLocks noTextEdit="1"/>
            </xdr:cNvSpPr>
          </xdr:nvSpPr>
          <xdr:spPr>
            <a:xfrm>
              <a:off x="6681306" y="3360283"/>
              <a:ext cx="2087217" cy="2868240"/>
            </a:xfrm>
            <a:prstGeom prst="rect">
              <a:avLst/>
            </a:prstGeom>
            <a:solidFill>
              <a:prstClr val="white"/>
            </a:solidFill>
            <a:ln w="1">
              <a:solidFill>
                <a:prstClr val="green"/>
              </a:solidFill>
            </a:ln>
          </xdr:spPr>
          <xdr:txBody>
            <a:bodyPr vertOverflow="clip" horzOverflow="clip"/>
            <a:lstStyle/>
            <a:p>
              <a:r>
                <a:rPr lang="id-ID" sz="1100"/>
                <a:t>Bentuk ini mewakili sebuah pemotong. Pemotong didukung dalam Excel 2010 atau versi yang lebih baru.
Jika bentuk dimodifikasi dalam versi Excel yang lebih awal, atau jika buku kerja disimpan dalam Excel 2003 atau yang lebih awal, pemotong tidak dapat digunakan.</a:t>
              </a:r>
            </a:p>
          </xdr:txBody>
        </xdr:sp>
      </mc:Fallback>
    </mc:AlternateContent>
    <xdr:clientData/>
  </xdr:twoCellAnchor>
  <xdr:twoCellAnchor editAs="oneCell">
    <xdr:from>
      <xdr:col>7</xdr:col>
      <xdr:colOff>342347</xdr:colOff>
      <xdr:row>17</xdr:row>
      <xdr:rowOff>168714</xdr:rowOff>
    </xdr:from>
    <xdr:to>
      <xdr:col>10</xdr:col>
      <xdr:colOff>607390</xdr:colOff>
      <xdr:row>33</xdr:row>
      <xdr:rowOff>55217</xdr:rowOff>
    </xdr:to>
    <mc:AlternateContent xmlns:mc="http://schemas.openxmlformats.org/markup-compatibility/2006">
      <mc:Choice xmlns:a14="http://schemas.microsoft.com/office/drawing/2010/main" Requires="a14">
        <xdr:graphicFrame macro="">
          <xdr:nvGraphicFramePr>
            <xdr:cNvPr id="8" name="Status">
              <a:extLst>
                <a:ext uri="{FF2B5EF4-FFF2-40B4-BE49-F238E27FC236}">
                  <a16:creationId xmlns:a16="http://schemas.microsoft.com/office/drawing/2014/main" id="{31AC6890-F5B6-A615-233D-E361C0CA2A7F}"/>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4594086" y="3360279"/>
              <a:ext cx="2087217" cy="2890329"/>
            </a:xfrm>
            <a:prstGeom prst="rect">
              <a:avLst/>
            </a:prstGeom>
            <a:solidFill>
              <a:prstClr val="white"/>
            </a:solidFill>
            <a:ln w="1">
              <a:solidFill>
                <a:prstClr val="green"/>
              </a:solidFill>
            </a:ln>
          </xdr:spPr>
          <xdr:txBody>
            <a:bodyPr vertOverflow="clip" horzOverflow="clip"/>
            <a:lstStyle/>
            <a:p>
              <a:r>
                <a:rPr lang="id-ID" sz="1100"/>
                <a:t>Bentuk ini mewakili sebuah pemotong. Pemotong didukung dalam Excel 2010 atau versi yang lebih baru.
Jika bentuk dimodifikasi dalam versi Excel yang lebih awal, atau jika buku kerja disimpan dalam Excel 2003 atau yang lebih awal, pemotong tidak dapat digunakan.</a:t>
              </a:r>
            </a:p>
          </xdr:txBody>
        </xdr:sp>
      </mc:Fallback>
    </mc:AlternateContent>
    <xdr:clientData/>
  </xdr:twoCellAnchor>
  <xdr:twoCellAnchor editAs="oneCell">
    <xdr:from>
      <xdr:col>14</xdr:col>
      <xdr:colOff>276087</xdr:colOff>
      <xdr:row>18</xdr:row>
      <xdr:rowOff>6486</xdr:rowOff>
    </xdr:from>
    <xdr:to>
      <xdr:col>19</xdr:col>
      <xdr:colOff>408525</xdr:colOff>
      <xdr:row>25</xdr:row>
      <xdr:rowOff>110435</xdr:rowOff>
    </xdr:to>
    <mc:AlternateContent xmlns:mc="http://schemas.openxmlformats.org/markup-compatibility/2006">
      <mc:Choice xmlns:tsle="http://schemas.microsoft.com/office/drawing/2012/timeslicer" Requires="tsle">
        <xdr:graphicFrame macro="">
          <xdr:nvGraphicFramePr>
            <xdr:cNvPr id="9" name="Tanggal Awal">
              <a:extLst>
                <a:ext uri="{FF2B5EF4-FFF2-40B4-BE49-F238E27FC236}">
                  <a16:creationId xmlns:a16="http://schemas.microsoft.com/office/drawing/2014/main" id="{A687A3CF-BEAB-D967-2127-8FA64743A7E9}"/>
                </a:ext>
              </a:extLst>
            </xdr:cNvPr>
            <xdr:cNvGraphicFramePr/>
          </xdr:nvGraphicFramePr>
          <xdr:xfrm>
            <a:off x="0" y="0"/>
            <a:ext cx="0" cy="0"/>
          </xdr:xfrm>
          <a:graphic>
            <a:graphicData uri="http://schemas.microsoft.com/office/drawing/2012/timeslicer">
              <tsle:timeslicer xmlns:tsle="http://schemas.microsoft.com/office/drawing/2012/timeslicer" name="Tanggal Awal"/>
            </a:graphicData>
          </a:graphic>
        </xdr:graphicFrame>
      </mc:Choice>
      <mc:Fallback>
        <xdr:sp macro="" textlink="">
          <xdr:nvSpPr>
            <xdr:cNvPr id="0" name=""/>
            <xdr:cNvSpPr>
              <a:spLocks noTextEdit="1"/>
            </xdr:cNvSpPr>
          </xdr:nvSpPr>
          <xdr:spPr>
            <a:xfrm>
              <a:off x="8779565" y="3385790"/>
              <a:ext cx="3169395" cy="1418123"/>
            </a:xfrm>
            <a:prstGeom prst="rect">
              <a:avLst/>
            </a:prstGeom>
            <a:solidFill>
              <a:prstClr val="white"/>
            </a:solidFill>
            <a:ln w="1">
              <a:solidFill>
                <a:prstClr val="green"/>
              </a:solidFill>
            </a:ln>
          </xdr:spPr>
          <xdr:txBody>
            <a:bodyPr vertOverflow="clip" horzOverflow="clip"/>
            <a:lstStyle/>
            <a:p>
              <a:r>
                <a:rPr lang="id-ID" sz="1100"/>
                <a:t>Garis Waktu: Berfungsi di Excel 2013 atau yang lebih tinggi. Jangan memindahkannya atau mengubah ukurannya.</a:t>
              </a:r>
            </a:p>
          </xdr:txBody>
        </xdr:sp>
      </mc:Fallback>
    </mc:AlternateContent>
    <xdr:clientData/>
  </xdr:twoCellAnchor>
  <xdr:twoCellAnchor editAs="oneCell">
    <xdr:from>
      <xdr:col>14</xdr:col>
      <xdr:colOff>287131</xdr:colOff>
      <xdr:row>25</xdr:row>
      <xdr:rowOff>124595</xdr:rowOff>
    </xdr:from>
    <xdr:to>
      <xdr:col>19</xdr:col>
      <xdr:colOff>441739</xdr:colOff>
      <xdr:row>33</xdr:row>
      <xdr:rowOff>22087</xdr:rowOff>
    </xdr:to>
    <mc:AlternateContent xmlns:mc="http://schemas.openxmlformats.org/markup-compatibility/2006">
      <mc:Choice xmlns:tsle="http://schemas.microsoft.com/office/drawing/2012/timeslicer" Requires="tsle">
        <xdr:graphicFrame macro="">
          <xdr:nvGraphicFramePr>
            <xdr:cNvPr id="10" name="Tanggal Akhir">
              <a:extLst>
                <a:ext uri="{FF2B5EF4-FFF2-40B4-BE49-F238E27FC236}">
                  <a16:creationId xmlns:a16="http://schemas.microsoft.com/office/drawing/2014/main" id="{B10BE6CA-5B2D-7933-8409-19590BD2AEB5}"/>
                </a:ext>
              </a:extLst>
            </xdr:cNvPr>
            <xdr:cNvGraphicFramePr/>
          </xdr:nvGraphicFramePr>
          <xdr:xfrm>
            <a:off x="0" y="0"/>
            <a:ext cx="0" cy="0"/>
          </xdr:xfrm>
          <a:graphic>
            <a:graphicData uri="http://schemas.microsoft.com/office/drawing/2012/timeslicer">
              <tsle:timeslicer xmlns:tsle="http://schemas.microsoft.com/office/drawing/2012/timeslicer" name="Tanggal Akhir"/>
            </a:graphicData>
          </a:graphic>
        </xdr:graphicFrame>
      </mc:Choice>
      <mc:Fallback>
        <xdr:sp macro="" textlink="">
          <xdr:nvSpPr>
            <xdr:cNvPr id="0" name=""/>
            <xdr:cNvSpPr>
              <a:spLocks noTextEdit="1"/>
            </xdr:cNvSpPr>
          </xdr:nvSpPr>
          <xdr:spPr>
            <a:xfrm>
              <a:off x="8790609" y="4818073"/>
              <a:ext cx="3191565" cy="1399405"/>
            </a:xfrm>
            <a:prstGeom prst="rect">
              <a:avLst/>
            </a:prstGeom>
            <a:solidFill>
              <a:prstClr val="white"/>
            </a:solidFill>
            <a:ln w="1">
              <a:solidFill>
                <a:prstClr val="green"/>
              </a:solidFill>
            </a:ln>
          </xdr:spPr>
          <xdr:txBody>
            <a:bodyPr vertOverflow="clip" horzOverflow="clip"/>
            <a:lstStyle/>
            <a:p>
              <a:r>
                <a:rPr lang="id-ID" sz="1100"/>
                <a:t>Garis Waktu: Berfungsi di Excel 2013 atau yang lebih tinggi. Jangan memindahkannya atau mengubah ukurannya.</a:t>
              </a:r>
            </a:p>
          </xdr:txBody>
        </xdr:sp>
      </mc:Fallback>
    </mc:AlternateContent>
    <xdr:clientData/>
  </xdr:twoCellAnchor>
  <xdr:twoCellAnchor>
    <xdr:from>
      <xdr:col>0</xdr:col>
      <xdr:colOff>0</xdr:colOff>
      <xdr:row>0</xdr:row>
      <xdr:rowOff>0</xdr:rowOff>
    </xdr:from>
    <xdr:to>
      <xdr:col>9</xdr:col>
      <xdr:colOff>530087</xdr:colOff>
      <xdr:row>17</xdr:row>
      <xdr:rowOff>154609</xdr:rowOff>
    </xdr:to>
    <xdr:graphicFrame macro="">
      <xdr:nvGraphicFramePr>
        <xdr:cNvPr id="11" name="Bagan 10">
          <a:extLst>
            <a:ext uri="{FF2B5EF4-FFF2-40B4-BE49-F238E27FC236}">
              <a16:creationId xmlns:a16="http://schemas.microsoft.com/office/drawing/2014/main" id="{623AA72D-75F4-49A8-A48B-61A2563B99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519042</xdr:colOff>
      <xdr:row>0</xdr:row>
      <xdr:rowOff>0</xdr:rowOff>
    </xdr:from>
    <xdr:to>
      <xdr:col>19</xdr:col>
      <xdr:colOff>441738</xdr:colOff>
      <xdr:row>17</xdr:row>
      <xdr:rowOff>154609</xdr:rowOff>
    </xdr:to>
    <xdr:graphicFrame macro="">
      <xdr:nvGraphicFramePr>
        <xdr:cNvPr id="12" name="Bagan 11">
          <a:extLst>
            <a:ext uri="{FF2B5EF4-FFF2-40B4-BE49-F238E27FC236}">
              <a16:creationId xmlns:a16="http://schemas.microsoft.com/office/drawing/2014/main" id="{D228F20D-B22B-4FF5-864D-4402F546EC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154607</xdr:rowOff>
    </xdr:from>
    <xdr:to>
      <xdr:col>7</xdr:col>
      <xdr:colOff>305021</xdr:colOff>
      <xdr:row>33</xdr:row>
      <xdr:rowOff>66260</xdr:rowOff>
    </xdr:to>
    <xdr:graphicFrame macro="">
      <xdr:nvGraphicFramePr>
        <xdr:cNvPr id="2" name="Bagan 1">
          <a:extLst>
            <a:ext uri="{FF2B5EF4-FFF2-40B4-BE49-F238E27FC236}">
              <a16:creationId xmlns:a16="http://schemas.microsoft.com/office/drawing/2014/main" id="{22B27669-79AF-44E5-8D37-0CDAC118CD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zmi Taqiyudin" refreshedDate="45981.339668865738" createdVersion="8" refreshedVersion="8" minRefreshableVersion="3" recordCount="100" xr:uid="{992AF4F6-BB23-47CB-925A-AB5DEF81F82B}">
  <cacheSource type="worksheet">
    <worksheetSource name="Tabel4"/>
  </cacheSource>
  <cacheFields count="13">
    <cacheField name="Nama_Donatur" numFmtId="0">
      <sharedItems count="100">
        <s v="Aisyah Yuniar"/>
        <s v="Ajiman Sudiati, S.IP"/>
        <s v="Alika Nurdiyanti"/>
        <s v="Ami Haryanti, S.Gz"/>
        <s v="Ana Tampubolon"/>
        <s v="Bahuwirya Thamrin"/>
        <s v="Carub Namaga"/>
        <s v="Cemani Kuswandari"/>
        <s v="Cut Dina Kuswandari, S.Psi"/>
        <s v="Danu Waluyo"/>
        <s v="Darmana Safitri, S.T."/>
        <s v="Dina Yulianti, S.H."/>
        <s v="dr. Dinda Suryatmi"/>
        <s v="Dr. Ika Wacana"/>
        <s v="dr. Luluh Siregar, M.Ak"/>
        <s v="drg. Hartana Zulkarnain"/>
        <s v="Drs. Febi Simbolon"/>
        <s v="Drs. Yani Firmansyah"/>
        <s v="Drs. Zulaikha Kuswandari, S.Sos"/>
        <s v="Dt. Cawisono Mustofa"/>
        <s v="Dt. Kardi Sitompul"/>
        <s v="Dt. Pangestu Suwarno, M.M."/>
        <s v="Edi Simbolon"/>
        <s v="Ega Gunawan"/>
        <s v="Elisa Prakasa"/>
        <s v="Ellis Zulaika"/>
        <s v="Emas Nababan"/>
        <s v="Endah Najmudin"/>
        <s v="Gading Hardiansyah"/>
        <s v="Gaiman Astuti"/>
        <s v="Gamani Saptono"/>
        <s v="Gandewa Wijayanti"/>
        <s v="H. Cakrawala Winarno"/>
        <s v="H. Karta Pratiwi, S.Pd"/>
        <s v="Ikhsan Damanik"/>
        <s v="Ir. Ajiman Novitasari"/>
        <s v="Ir. Edward Prakasa, M.M."/>
        <s v="Ir. Gantar Safitri, S.IP"/>
        <s v="Ir. Lintang Kusmawati, S.T."/>
        <s v="Ir. Mahmud Namaga, M.Kom."/>
        <s v="Ir. Rendy Nasyiah, M.Kom."/>
        <s v="Jaga Wahyuni"/>
        <s v="Jamil Astuti"/>
        <s v="Jaswadi Nashiruddin"/>
        <s v="Juli Habibi"/>
        <s v="Julia Sitorus"/>
        <s v="Kayla Usamah"/>
        <s v="Kezia Maryadi"/>
        <s v="Laksana Rajasa"/>
        <s v="Lili Maheswara"/>
        <s v="Lukita Winarsih"/>
        <s v="Luwes Hakim"/>
        <s v="Mahesa Mahendra"/>
        <s v="Michelle Siregar"/>
        <s v="Nadia Permata"/>
        <s v="Nadine Melani"/>
        <s v="Natalia Marbun"/>
        <s v="Nurul Tarihoran"/>
        <s v="Oskar Permata"/>
        <s v="Panji Oktaviani"/>
        <s v="Prakosa Kuswoyo"/>
        <s v="Puji Latupono, M.TI."/>
        <s v="Puspa Napitupulu"/>
        <s v="Puti Ardianto"/>
        <s v="Puti Paramita Nainggolan"/>
        <s v="Puti Rahmi Dongoran"/>
        <s v="Puti Talia Siregar, S.Pd"/>
        <s v="Qori Pudjiastuti, M.Ak"/>
        <s v="R. Balidin Maulana, M.Pd"/>
        <s v="R. Dimaz Tarihoran"/>
        <s v="R. Edison Saragih, S.Farm"/>
        <s v="R. Ratih Wastuti"/>
        <s v="R.M. Eko Megantara, S.E."/>
        <s v="Rahmat Hastuti"/>
        <s v="Rini Pradana"/>
        <s v="Septi Latupono, S.H."/>
        <s v="Shania Usada"/>
        <s v="Suci Tamba"/>
        <s v="Syahrini Wijayanti, M.Farm"/>
        <s v="T. Caturangga Hasanah, S.E.I"/>
        <s v="T. Naradi Usada, S.E."/>
        <s v="Talia Wibowo"/>
        <s v="Tgk. Ani Wahyudin"/>
        <s v="Tgk. Pandu Mansur, S.Psi"/>
        <s v="Tgk. Raisa Megantara, M.Pd"/>
        <s v="Tgk. Victoria Wijaya"/>
        <s v="Tiara Adriansyah"/>
        <s v="Titi Laksmiwati"/>
        <s v="Titi Maheswara"/>
        <s v="Vega Wacana"/>
        <s v="Vino Permata"/>
        <s v="Virman Rajata"/>
        <s v="Wage Saefullah"/>
        <s v="Wahyu Uyainah"/>
        <s v="Widya Prasasta"/>
        <s v="Yani Nuraini"/>
        <s v="Yuliana Utami"/>
        <s v="Zalindra Wastuti"/>
        <s v="Zalindra Widodo, S.T."/>
        <s v="Zizi Yolanda"/>
      </sharedItems>
    </cacheField>
    <cacheField name="Jumlah dari Nominal" numFmtId="166">
      <sharedItems containsSemiMixedTypes="0" containsString="0" containsNumber="1" containsInteger="1" minValue="3050000" maxValue="135600000" count="97">
        <n v="49000000"/>
        <n v="47400000"/>
        <n v="7500000"/>
        <n v="26300000"/>
        <n v="50950000"/>
        <n v="24900000"/>
        <n v="115650000"/>
        <n v="30150000"/>
        <n v="97200000"/>
        <n v="36200000"/>
        <n v="63400000"/>
        <n v="57450000"/>
        <n v="29050000"/>
        <n v="18900000"/>
        <n v="10400000"/>
        <n v="33150000"/>
        <n v="31750000"/>
        <n v="26900000"/>
        <n v="39700000"/>
        <n v="36400000"/>
        <n v="61950000"/>
        <n v="7850000"/>
        <n v="15700000"/>
        <n v="50750000"/>
        <n v="42050000"/>
        <n v="42100000"/>
        <n v="30750000"/>
        <n v="21600000"/>
        <n v="19400000"/>
        <n v="46550000"/>
        <n v="48550000"/>
        <n v="41150000"/>
        <n v="86000000"/>
        <n v="40900000"/>
        <n v="63700000"/>
        <n v="52700000"/>
        <n v="15200000"/>
        <n v="55750000"/>
        <n v="25800000"/>
        <n v="18400000"/>
        <n v="67900000"/>
        <n v="23800000"/>
        <n v="22000000"/>
        <n v="73400000"/>
        <n v="42850000"/>
        <n v="32400000"/>
        <n v="50500000"/>
        <n v="24500000"/>
        <n v="45950000"/>
        <n v="3050000"/>
        <n v="55250000"/>
        <n v="30650000"/>
        <n v="12000000"/>
        <n v="26650000"/>
        <n v="24200000"/>
        <n v="40750000"/>
        <n v="56850000"/>
        <n v="52300000"/>
        <n v="35400000"/>
        <n v="30000000"/>
        <n v="26200000"/>
        <n v="50550000"/>
        <n v="135600000"/>
        <n v="53250000"/>
        <n v="25500000"/>
        <n v="57850000"/>
        <n v="37700000"/>
        <n v="44400000"/>
        <n v="28750000"/>
        <n v="8900000"/>
        <n v="22850000"/>
        <n v="26100000"/>
        <n v="9150000"/>
        <n v="37400000"/>
        <n v="47350000"/>
        <n v="28450000"/>
        <n v="26350000"/>
        <n v="23700000"/>
        <n v="8650000"/>
        <n v="48350000"/>
        <n v="46450000"/>
        <n v="47600000"/>
        <n v="53350000"/>
        <n v="51750000"/>
        <n v="30400000"/>
        <n v="84750000"/>
        <n v="66400000"/>
        <n v="14000000"/>
        <n v="26800000"/>
        <n v="10350000"/>
        <n v="45000000"/>
        <n v="73750000"/>
        <n v="41700000"/>
        <n v="40950000"/>
        <n v="55700000"/>
        <n v="28500000"/>
        <n v="27750000"/>
      </sharedItems>
    </cacheField>
    <cacheField name="Kelompok" numFmtId="0">
      <sharedItems count="4">
        <s v="Diamond"/>
        <s v="Silver"/>
        <s v="Gold"/>
        <s v="Bronze"/>
      </sharedItems>
    </cacheField>
    <cacheField name="Frekuensi" numFmtId="0">
      <sharedItems containsSemiMixedTypes="0" containsString="0" containsNumber="1" containsInteger="1" minValue="3" maxValue="19" count="16">
        <n v="17"/>
        <n v="7"/>
        <n v="6"/>
        <n v="9"/>
        <n v="11"/>
        <n v="12"/>
        <n v="3"/>
        <n v="14"/>
        <n v="10"/>
        <n v="8"/>
        <n v="13"/>
        <n v="15"/>
        <n v="5"/>
        <n v="16"/>
        <n v="4"/>
        <n v="19"/>
      </sharedItems>
    </cacheField>
    <cacheField name="Tanggal Awal" numFmtId="165">
      <sharedItems containsSemiMixedTypes="0" containsNonDate="0" containsDate="1" containsString="0" minDate="2025-01-03T00:00:00" maxDate="2025-07-14T00:00:00" count="53">
        <d v="2025-01-11T00:00:00"/>
        <d v="2025-02-22T00:00:00"/>
        <d v="2025-01-03T00:00:00"/>
        <d v="2025-01-31T00:00:00"/>
        <d v="2025-01-27T00:00:00"/>
        <d v="2025-01-28T00:00:00"/>
        <d v="2025-01-19T00:00:00"/>
        <d v="2025-07-13T00:00:00"/>
        <d v="2025-01-07T00:00:00"/>
        <d v="2025-01-08T00:00:00"/>
        <d v="2025-02-12T00:00:00"/>
        <d v="2025-01-10T00:00:00"/>
        <d v="2025-01-25T00:00:00"/>
        <d v="2025-01-05T00:00:00"/>
        <d v="2025-01-26T00:00:00"/>
        <d v="2025-02-17T00:00:00"/>
        <d v="2025-02-01T00:00:00"/>
        <d v="2025-01-23T00:00:00"/>
        <d v="2025-03-27T00:00:00"/>
        <d v="2025-01-20T00:00:00"/>
        <d v="2025-03-02T00:00:00"/>
        <d v="2025-01-13T00:00:00"/>
        <d v="2025-02-06T00:00:00"/>
        <d v="2025-04-08T00:00:00"/>
        <d v="2025-02-04T00:00:00"/>
        <d v="2025-02-24T00:00:00"/>
        <d v="2025-02-25T00:00:00"/>
        <d v="2025-01-17T00:00:00"/>
        <d v="2025-01-14T00:00:00"/>
        <d v="2025-03-04T00:00:00"/>
        <d v="2025-02-08T00:00:00"/>
        <d v="2025-01-04T00:00:00"/>
        <d v="2025-02-20T00:00:00"/>
        <d v="2025-01-18T00:00:00"/>
        <d v="2025-03-03T00:00:00"/>
        <d v="2025-01-22T00:00:00"/>
        <d v="2025-02-07T00:00:00"/>
        <d v="2025-02-18T00:00:00"/>
        <d v="2025-01-16T00:00:00"/>
        <d v="2025-01-21T00:00:00"/>
        <d v="2025-01-15T00:00:00"/>
        <d v="2025-02-21T00:00:00"/>
        <d v="2025-01-12T00:00:00"/>
        <d v="2025-01-09T00:00:00"/>
        <d v="2025-02-02T00:00:00"/>
        <d v="2025-02-11T00:00:00"/>
        <d v="2025-01-29T00:00:00"/>
        <d v="2025-02-10T00:00:00"/>
        <d v="2025-01-30T00:00:00"/>
        <d v="2025-02-05T00:00:00"/>
        <d v="2025-02-14T00:00:00"/>
        <d v="2025-04-03T00:00:00"/>
        <d v="2025-03-19T00:00:00"/>
      </sharedItems>
      <fieldGroup par="10"/>
    </cacheField>
    <cacheField name="Tanggal Akhir" numFmtId="165">
      <sharedItems containsSemiMixedTypes="0" containsNonDate="0" containsDate="1" containsString="0" minDate="2025-05-18T00:00:00" maxDate="2025-10-04T00:00:00" count="51">
        <d v="2025-09-21T00:00:00"/>
        <d v="2025-09-01T00:00:00"/>
        <d v="2025-06-02T00:00:00"/>
        <d v="2025-09-16T00:00:00"/>
        <d v="2025-09-11T00:00:00"/>
        <d v="2025-10-02T00:00:00"/>
        <d v="2025-09-28T00:00:00"/>
        <d v="2025-09-06T00:00:00"/>
        <d v="2025-09-30T00:00:00"/>
        <d v="2025-08-31T00:00:00"/>
        <d v="2025-07-23T00:00:00"/>
        <d v="2025-09-15T00:00:00"/>
        <d v="2025-09-22T00:00:00"/>
        <d v="2025-09-29T00:00:00"/>
        <d v="2025-09-10T00:00:00"/>
        <d v="2025-07-24T00:00:00"/>
        <d v="2025-09-20T00:00:00"/>
        <d v="2025-08-18T00:00:00"/>
        <d v="2025-08-30T00:00:00"/>
        <d v="2025-08-21T00:00:00"/>
        <d v="2025-08-20T00:00:00"/>
        <d v="2025-08-23T00:00:00"/>
        <d v="2025-06-10T00:00:00"/>
        <d v="2025-08-24T00:00:00"/>
        <d v="2025-09-02T00:00:00"/>
        <d v="2025-09-14T00:00:00"/>
        <d v="2025-06-14T00:00:00"/>
        <d v="2025-10-01T00:00:00"/>
        <d v="2025-09-12T00:00:00"/>
        <d v="2025-09-13T00:00:00"/>
        <d v="2025-09-23T00:00:00"/>
        <d v="2025-07-25T00:00:00"/>
        <d v="2025-05-18T00:00:00"/>
        <d v="2025-08-03T00:00:00"/>
        <d v="2025-09-26T00:00:00"/>
        <d v="2025-08-27T00:00:00"/>
        <d v="2025-07-20T00:00:00"/>
        <d v="2025-08-17T00:00:00"/>
        <d v="2025-09-07T00:00:00"/>
        <d v="2025-09-24T00:00:00"/>
        <d v="2025-09-18T00:00:00"/>
        <d v="2025-08-15T00:00:00"/>
        <d v="2025-07-27T00:00:00"/>
        <d v="2025-06-23T00:00:00"/>
        <d v="2025-10-03T00:00:00"/>
        <d v="2025-08-29T00:00:00"/>
        <d v="2025-08-16T00:00:00"/>
        <d v="2025-09-17T00:00:00"/>
        <d v="2025-08-26T00:00:00"/>
        <d v="2025-09-09T00:00:00"/>
        <d v="2025-05-20T00:00:00"/>
      </sharedItems>
      <fieldGroup par="12"/>
    </cacheField>
    <cacheField name="Jarak Transaksi Terakhir sampai Hari Ini" numFmtId="0">
      <sharedItems containsSemiMixedTypes="0" containsString="0" containsNumber="1" containsInteger="1" minValue="1" maxValue="6" count="6">
        <n v="2"/>
        <n v="5"/>
        <n v="1"/>
        <n v="3"/>
        <n v="4"/>
        <n v="6"/>
      </sharedItems>
    </cacheField>
    <cacheField name="Rata-Rata Jumlah Transaksi per Bulan" numFmtId="0">
      <sharedItems containsSemiMixedTypes="0" containsString="0" containsNumber="1" minValue="0.5714285714285714" maxValue="4"/>
    </cacheField>
    <cacheField name="Status" numFmtId="0">
      <sharedItems count="3">
        <s v="Loyal"/>
        <s v="Aktif"/>
        <s v="Pasif"/>
      </sharedItems>
    </cacheField>
    <cacheField name="Hari (Tanggal Awal)" numFmtId="0" databaseField="0">
      <fieldGroup base="4">
        <rangePr groupBy="days" startDate="2025-01-03T00:00:00" endDate="2025-07-14T00:00:00"/>
        <groupItems count="368">
          <s v="&lt;1/3/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7/14/2025"/>
        </groupItems>
      </fieldGroup>
    </cacheField>
    <cacheField name="Bulan (Tanggal Awal)" numFmtId="0" databaseField="0">
      <fieldGroup base="4">
        <rangePr groupBy="months" startDate="2025-01-03T00:00:00" endDate="2025-07-14T00:00:00"/>
        <groupItems count="14">
          <s v="&lt;1/3/2025"/>
          <s v="Jan"/>
          <s v="Feb"/>
          <s v="Mar"/>
          <s v="Apr"/>
          <s v="May"/>
          <s v="Jun"/>
          <s v="Jul"/>
          <s v="Aug"/>
          <s v="Sep"/>
          <s v="Oct"/>
          <s v="Nov"/>
          <s v="Dec"/>
          <s v="&gt;7/14/2025"/>
        </groupItems>
      </fieldGroup>
    </cacheField>
    <cacheField name="Hari (Tanggal Akhir)" numFmtId="0" databaseField="0">
      <fieldGroup base="5">
        <rangePr groupBy="days" startDate="2025-05-18T00:00:00" endDate="2025-10-04T00:00:00"/>
        <groupItems count="368">
          <s v="&lt;5/18/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0/4/2025"/>
        </groupItems>
      </fieldGroup>
    </cacheField>
    <cacheField name="Bulan (Tanggal Akhir)" numFmtId="0" databaseField="0">
      <fieldGroup base="5">
        <rangePr groupBy="months" startDate="2025-05-18T00:00:00" endDate="2025-10-04T00:00:00"/>
        <groupItems count="14">
          <s v="&lt;5/18/2025"/>
          <s v="Jan"/>
          <s v="Feb"/>
          <s v="Mar"/>
          <s v="Apr"/>
          <s v="May"/>
          <s v="Jun"/>
          <s v="Jul"/>
          <s v="Aug"/>
          <s v="Sep"/>
          <s v="Oct"/>
          <s v="Nov"/>
          <s v="Dec"/>
          <s v="&gt;10/4/2025"/>
        </groupItems>
      </fieldGroup>
    </cacheField>
  </cacheFields>
  <extLst>
    <ext xmlns:x14="http://schemas.microsoft.com/office/spreadsheetml/2009/9/main" uri="{725AE2AE-9491-48be-B2B4-4EB974FC3084}">
      <x14:pivotCacheDefinition pivotCacheId="117699135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zmi Taqiyudin" refreshedDate="46115.089543402777" createdVersion="8" refreshedVersion="8" minRefreshableVersion="3" recordCount="9" xr:uid="{A0B4580D-AF8B-484E-9B4D-EACB2C67AC2A}">
  <cacheSource type="worksheet">
    <worksheetSource ref="A1:I10" sheet="Buat Pivot"/>
  </cacheSource>
  <cacheFields count="9">
    <cacheField name="Nama_Donatur" numFmtId="0">
      <sharedItems count="9">
        <s v="Puti Ardianto"/>
        <s v="Carub Namaga"/>
        <s v="Cut Dina Kuswandari, S.Psi"/>
        <s v="H. Cakrawala Winarno"/>
        <s v="Jamil Astuti"/>
        <s v="Titi Laksmiwati"/>
        <s v="Wahyu Uyainah"/>
        <s v="Juli Habibi"/>
        <s v="Ir. Rendy Nasyiah, M.Kom."/>
      </sharedItems>
    </cacheField>
    <cacheField name="Frekuensi" numFmtId="0">
      <sharedItems containsSemiMixedTypes="0" containsString="0" containsNumber="1" containsInteger="1" minValue="12" maxValue="19"/>
    </cacheField>
    <cacheField name="Tanggal Awal" numFmtId="165">
      <sharedItems containsSemiMixedTypes="0" containsNonDate="0" containsDate="1" containsString="0" minDate="2025-01-03T00:00:00" maxDate="2025-03-05T00:00:00"/>
    </cacheField>
    <cacheField name="Tanggal Akhir" numFmtId="165">
      <sharedItems containsSemiMixedTypes="0" containsNonDate="0" containsDate="1" containsString="0" minDate="2025-09-06T00:00:00" maxDate="2025-10-03T00:00:00"/>
    </cacheField>
    <cacheField name="Jarak Transaksi Terakhir sampai Hari Ini" numFmtId="0">
      <sharedItems containsSemiMixedTypes="0" containsString="0" containsNumber="1" containsInteger="1" minValue="6" maxValue="7"/>
    </cacheField>
    <cacheField name="Rata-Rata Jumlah Transaksi per Bulan" numFmtId="0">
      <sharedItems containsSemiMixedTypes="0" containsString="0" containsNumber="1" minValue="1.5" maxValue="2.1666666666666665"/>
    </cacheField>
    <cacheField name="Status" numFmtId="0">
      <sharedItems/>
    </cacheField>
    <cacheField name="Jumlah dari Nominal" numFmtId="166">
      <sharedItems containsSemiMixedTypes="0" containsString="0" containsNumber="1" containsInteger="1" minValue="67900000" maxValue="135600000" count="8">
        <n v="135600000"/>
        <n v="115650000"/>
        <n v="97200000"/>
        <n v="86000000"/>
        <n v="84750000"/>
        <n v="73750000"/>
        <n v="73400000"/>
        <n v="67900000"/>
      </sharedItems>
    </cacheField>
    <cacheField name="Kelompok"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x v="0"/>
    <x v="0"/>
    <x v="0"/>
    <x v="0"/>
    <n v="2.125"/>
    <x v="0"/>
  </r>
  <r>
    <x v="1"/>
    <x v="1"/>
    <x v="0"/>
    <x v="1"/>
    <x v="1"/>
    <x v="1"/>
    <x v="0"/>
    <n v="1"/>
    <x v="1"/>
  </r>
  <r>
    <x v="2"/>
    <x v="2"/>
    <x v="1"/>
    <x v="2"/>
    <x v="2"/>
    <x v="2"/>
    <x v="1"/>
    <n v="1.2"/>
    <x v="2"/>
  </r>
  <r>
    <x v="3"/>
    <x v="3"/>
    <x v="0"/>
    <x v="3"/>
    <x v="3"/>
    <x v="3"/>
    <x v="0"/>
    <n v="1.125"/>
    <x v="1"/>
  </r>
  <r>
    <x v="4"/>
    <x v="4"/>
    <x v="0"/>
    <x v="4"/>
    <x v="4"/>
    <x v="4"/>
    <x v="0"/>
    <n v="1.375"/>
    <x v="1"/>
  </r>
  <r>
    <x v="5"/>
    <x v="5"/>
    <x v="0"/>
    <x v="5"/>
    <x v="5"/>
    <x v="5"/>
    <x v="2"/>
    <n v="1.3333333333333333"/>
    <x v="1"/>
  </r>
  <r>
    <x v="6"/>
    <x v="6"/>
    <x v="0"/>
    <x v="0"/>
    <x v="6"/>
    <x v="3"/>
    <x v="0"/>
    <n v="2.125"/>
    <x v="0"/>
  </r>
  <r>
    <x v="7"/>
    <x v="7"/>
    <x v="0"/>
    <x v="6"/>
    <x v="7"/>
    <x v="6"/>
    <x v="0"/>
    <n v="1.5"/>
    <x v="1"/>
  </r>
  <r>
    <x v="8"/>
    <x v="8"/>
    <x v="0"/>
    <x v="7"/>
    <x v="8"/>
    <x v="7"/>
    <x v="0"/>
    <n v="1.75"/>
    <x v="1"/>
  </r>
  <r>
    <x v="9"/>
    <x v="9"/>
    <x v="0"/>
    <x v="8"/>
    <x v="5"/>
    <x v="8"/>
    <x v="0"/>
    <n v="1.25"/>
    <x v="1"/>
  </r>
  <r>
    <x v="10"/>
    <x v="10"/>
    <x v="0"/>
    <x v="4"/>
    <x v="9"/>
    <x v="9"/>
    <x v="3"/>
    <n v="1.5714285714285714"/>
    <x v="1"/>
  </r>
  <r>
    <x v="11"/>
    <x v="11"/>
    <x v="0"/>
    <x v="4"/>
    <x v="10"/>
    <x v="10"/>
    <x v="4"/>
    <n v="2.2000000000000002"/>
    <x v="0"/>
  </r>
  <r>
    <x v="12"/>
    <x v="12"/>
    <x v="0"/>
    <x v="5"/>
    <x v="11"/>
    <x v="5"/>
    <x v="2"/>
    <n v="1.3333333333333333"/>
    <x v="1"/>
  </r>
  <r>
    <x v="13"/>
    <x v="13"/>
    <x v="2"/>
    <x v="5"/>
    <x v="12"/>
    <x v="11"/>
    <x v="0"/>
    <n v="1.5"/>
    <x v="1"/>
  </r>
  <r>
    <x v="14"/>
    <x v="14"/>
    <x v="2"/>
    <x v="9"/>
    <x v="13"/>
    <x v="12"/>
    <x v="0"/>
    <n v="1"/>
    <x v="1"/>
  </r>
  <r>
    <x v="15"/>
    <x v="15"/>
    <x v="0"/>
    <x v="9"/>
    <x v="14"/>
    <x v="6"/>
    <x v="0"/>
    <n v="1"/>
    <x v="1"/>
  </r>
  <r>
    <x v="16"/>
    <x v="16"/>
    <x v="0"/>
    <x v="4"/>
    <x v="2"/>
    <x v="12"/>
    <x v="0"/>
    <n v="1.375"/>
    <x v="1"/>
  </r>
  <r>
    <x v="17"/>
    <x v="17"/>
    <x v="0"/>
    <x v="8"/>
    <x v="15"/>
    <x v="13"/>
    <x v="0"/>
    <n v="1.4285714285714286"/>
    <x v="1"/>
  </r>
  <r>
    <x v="18"/>
    <x v="18"/>
    <x v="0"/>
    <x v="8"/>
    <x v="14"/>
    <x v="1"/>
    <x v="0"/>
    <n v="1.25"/>
    <x v="1"/>
  </r>
  <r>
    <x v="19"/>
    <x v="19"/>
    <x v="0"/>
    <x v="4"/>
    <x v="16"/>
    <x v="14"/>
    <x v="0"/>
    <n v="1.5714285714285714"/>
    <x v="1"/>
  </r>
  <r>
    <x v="20"/>
    <x v="20"/>
    <x v="0"/>
    <x v="5"/>
    <x v="6"/>
    <x v="3"/>
    <x v="0"/>
    <n v="1.5"/>
    <x v="1"/>
  </r>
  <r>
    <x v="21"/>
    <x v="21"/>
    <x v="1"/>
    <x v="1"/>
    <x v="17"/>
    <x v="15"/>
    <x v="4"/>
    <n v="1.1666666666666667"/>
    <x v="2"/>
  </r>
  <r>
    <x v="22"/>
    <x v="22"/>
    <x v="2"/>
    <x v="9"/>
    <x v="18"/>
    <x v="16"/>
    <x v="0"/>
    <n v="1.3333333333333333"/>
    <x v="1"/>
  </r>
  <r>
    <x v="23"/>
    <x v="23"/>
    <x v="0"/>
    <x v="3"/>
    <x v="0"/>
    <x v="5"/>
    <x v="2"/>
    <n v="1"/>
    <x v="1"/>
  </r>
  <r>
    <x v="24"/>
    <x v="24"/>
    <x v="0"/>
    <x v="9"/>
    <x v="9"/>
    <x v="17"/>
    <x v="3"/>
    <n v="1.1428571428571428"/>
    <x v="2"/>
  </r>
  <r>
    <x v="25"/>
    <x v="25"/>
    <x v="0"/>
    <x v="5"/>
    <x v="19"/>
    <x v="8"/>
    <x v="0"/>
    <n v="1.5"/>
    <x v="1"/>
  </r>
  <r>
    <x v="26"/>
    <x v="26"/>
    <x v="0"/>
    <x v="8"/>
    <x v="20"/>
    <x v="18"/>
    <x v="3"/>
    <n v="2"/>
    <x v="0"/>
  </r>
  <r>
    <x v="27"/>
    <x v="27"/>
    <x v="0"/>
    <x v="9"/>
    <x v="9"/>
    <x v="0"/>
    <x v="0"/>
    <n v="1"/>
    <x v="1"/>
  </r>
  <r>
    <x v="28"/>
    <x v="28"/>
    <x v="2"/>
    <x v="10"/>
    <x v="21"/>
    <x v="19"/>
    <x v="3"/>
    <n v="1.8571428571428572"/>
    <x v="1"/>
  </r>
  <r>
    <x v="29"/>
    <x v="29"/>
    <x v="0"/>
    <x v="9"/>
    <x v="2"/>
    <x v="20"/>
    <x v="3"/>
    <n v="1.1428571428571428"/>
    <x v="1"/>
  </r>
  <r>
    <x v="30"/>
    <x v="30"/>
    <x v="0"/>
    <x v="10"/>
    <x v="11"/>
    <x v="6"/>
    <x v="0"/>
    <n v="1.625"/>
    <x v="1"/>
  </r>
  <r>
    <x v="31"/>
    <x v="31"/>
    <x v="0"/>
    <x v="5"/>
    <x v="22"/>
    <x v="21"/>
    <x v="3"/>
    <n v="2"/>
    <x v="0"/>
  </r>
  <r>
    <x v="32"/>
    <x v="32"/>
    <x v="0"/>
    <x v="11"/>
    <x v="0"/>
    <x v="8"/>
    <x v="0"/>
    <n v="1.875"/>
    <x v="1"/>
  </r>
  <r>
    <x v="33"/>
    <x v="33"/>
    <x v="0"/>
    <x v="12"/>
    <x v="23"/>
    <x v="22"/>
    <x v="1"/>
    <n v="2.5"/>
    <x v="0"/>
  </r>
  <r>
    <x v="34"/>
    <x v="34"/>
    <x v="0"/>
    <x v="8"/>
    <x v="6"/>
    <x v="23"/>
    <x v="3"/>
    <n v="1.4285714285714286"/>
    <x v="1"/>
  </r>
  <r>
    <x v="35"/>
    <x v="35"/>
    <x v="0"/>
    <x v="5"/>
    <x v="24"/>
    <x v="24"/>
    <x v="0"/>
    <n v="1.7142857142857142"/>
    <x v="1"/>
  </r>
  <r>
    <x v="36"/>
    <x v="36"/>
    <x v="2"/>
    <x v="2"/>
    <x v="25"/>
    <x v="25"/>
    <x v="0"/>
    <n v="0.8571428571428571"/>
    <x v="1"/>
  </r>
  <r>
    <x v="37"/>
    <x v="37"/>
    <x v="0"/>
    <x v="9"/>
    <x v="26"/>
    <x v="26"/>
    <x v="1"/>
    <n v="2"/>
    <x v="0"/>
  </r>
  <r>
    <x v="38"/>
    <x v="38"/>
    <x v="0"/>
    <x v="5"/>
    <x v="4"/>
    <x v="27"/>
    <x v="2"/>
    <n v="1.3333333333333333"/>
    <x v="1"/>
  </r>
  <r>
    <x v="39"/>
    <x v="39"/>
    <x v="2"/>
    <x v="0"/>
    <x v="2"/>
    <x v="28"/>
    <x v="0"/>
    <n v="2.125"/>
    <x v="0"/>
  </r>
  <r>
    <x v="40"/>
    <x v="40"/>
    <x v="0"/>
    <x v="5"/>
    <x v="27"/>
    <x v="29"/>
    <x v="0"/>
    <n v="1.5"/>
    <x v="1"/>
  </r>
  <r>
    <x v="41"/>
    <x v="41"/>
    <x v="0"/>
    <x v="3"/>
    <x v="28"/>
    <x v="5"/>
    <x v="2"/>
    <n v="1"/>
    <x v="1"/>
  </r>
  <r>
    <x v="42"/>
    <x v="32"/>
    <x v="0"/>
    <x v="10"/>
    <x v="29"/>
    <x v="30"/>
    <x v="0"/>
    <n v="2.1666666666666665"/>
    <x v="0"/>
  </r>
  <r>
    <x v="43"/>
    <x v="42"/>
    <x v="0"/>
    <x v="8"/>
    <x v="30"/>
    <x v="8"/>
    <x v="0"/>
    <n v="1.4285714285714286"/>
    <x v="1"/>
  </r>
  <r>
    <x v="44"/>
    <x v="43"/>
    <x v="0"/>
    <x v="13"/>
    <x v="13"/>
    <x v="11"/>
    <x v="0"/>
    <n v="2"/>
    <x v="0"/>
  </r>
  <r>
    <x v="45"/>
    <x v="44"/>
    <x v="0"/>
    <x v="8"/>
    <x v="31"/>
    <x v="30"/>
    <x v="0"/>
    <n v="1.25"/>
    <x v="1"/>
  </r>
  <r>
    <x v="46"/>
    <x v="45"/>
    <x v="0"/>
    <x v="9"/>
    <x v="32"/>
    <x v="16"/>
    <x v="0"/>
    <n v="1.1428571428571428"/>
    <x v="1"/>
  </r>
  <r>
    <x v="47"/>
    <x v="46"/>
    <x v="0"/>
    <x v="8"/>
    <x v="6"/>
    <x v="14"/>
    <x v="0"/>
    <n v="1.25"/>
    <x v="1"/>
  </r>
  <r>
    <x v="48"/>
    <x v="47"/>
    <x v="0"/>
    <x v="1"/>
    <x v="33"/>
    <x v="31"/>
    <x v="4"/>
    <n v="1.1666666666666667"/>
    <x v="2"/>
  </r>
  <r>
    <x v="49"/>
    <x v="48"/>
    <x v="0"/>
    <x v="10"/>
    <x v="21"/>
    <x v="25"/>
    <x v="0"/>
    <n v="1.625"/>
    <x v="1"/>
  </r>
  <r>
    <x v="50"/>
    <x v="49"/>
    <x v="3"/>
    <x v="2"/>
    <x v="34"/>
    <x v="16"/>
    <x v="0"/>
    <n v="1"/>
    <x v="1"/>
  </r>
  <r>
    <x v="51"/>
    <x v="50"/>
    <x v="0"/>
    <x v="10"/>
    <x v="11"/>
    <x v="12"/>
    <x v="0"/>
    <n v="1.625"/>
    <x v="1"/>
  </r>
  <r>
    <x v="52"/>
    <x v="51"/>
    <x v="0"/>
    <x v="1"/>
    <x v="13"/>
    <x v="32"/>
    <x v="5"/>
    <n v="1.75"/>
    <x v="2"/>
  </r>
  <r>
    <x v="53"/>
    <x v="52"/>
    <x v="2"/>
    <x v="1"/>
    <x v="35"/>
    <x v="0"/>
    <x v="0"/>
    <n v="0.875"/>
    <x v="1"/>
  </r>
  <r>
    <x v="54"/>
    <x v="53"/>
    <x v="0"/>
    <x v="5"/>
    <x v="36"/>
    <x v="30"/>
    <x v="0"/>
    <n v="1.7142857142857142"/>
    <x v="1"/>
  </r>
  <r>
    <x v="55"/>
    <x v="54"/>
    <x v="0"/>
    <x v="12"/>
    <x v="21"/>
    <x v="33"/>
    <x v="3"/>
    <n v="0.7142857142857143"/>
    <x v="2"/>
  </r>
  <r>
    <x v="56"/>
    <x v="55"/>
    <x v="0"/>
    <x v="8"/>
    <x v="37"/>
    <x v="12"/>
    <x v="0"/>
    <n v="1.4285714285714286"/>
    <x v="1"/>
  </r>
  <r>
    <x v="57"/>
    <x v="56"/>
    <x v="0"/>
    <x v="4"/>
    <x v="38"/>
    <x v="34"/>
    <x v="0"/>
    <n v="1.375"/>
    <x v="1"/>
  </r>
  <r>
    <x v="58"/>
    <x v="57"/>
    <x v="0"/>
    <x v="3"/>
    <x v="39"/>
    <x v="35"/>
    <x v="3"/>
    <n v="1.2857142857142858"/>
    <x v="1"/>
  </r>
  <r>
    <x v="59"/>
    <x v="58"/>
    <x v="0"/>
    <x v="3"/>
    <x v="40"/>
    <x v="36"/>
    <x v="4"/>
    <n v="1.5"/>
    <x v="2"/>
  </r>
  <r>
    <x v="60"/>
    <x v="59"/>
    <x v="0"/>
    <x v="10"/>
    <x v="41"/>
    <x v="28"/>
    <x v="0"/>
    <n v="1.8571428571428572"/>
    <x v="1"/>
  </r>
  <r>
    <x v="61"/>
    <x v="60"/>
    <x v="0"/>
    <x v="1"/>
    <x v="42"/>
    <x v="28"/>
    <x v="0"/>
    <n v="0.875"/>
    <x v="1"/>
  </r>
  <r>
    <x v="62"/>
    <x v="61"/>
    <x v="0"/>
    <x v="4"/>
    <x v="5"/>
    <x v="37"/>
    <x v="3"/>
    <n v="1.5714285714285714"/>
    <x v="2"/>
  </r>
  <r>
    <x v="63"/>
    <x v="62"/>
    <x v="0"/>
    <x v="11"/>
    <x v="43"/>
    <x v="8"/>
    <x v="0"/>
    <n v="1.875"/>
    <x v="1"/>
  </r>
  <r>
    <x v="64"/>
    <x v="63"/>
    <x v="0"/>
    <x v="8"/>
    <x v="0"/>
    <x v="38"/>
    <x v="0"/>
    <n v="1.25"/>
    <x v="1"/>
  </r>
  <r>
    <x v="65"/>
    <x v="64"/>
    <x v="0"/>
    <x v="10"/>
    <x v="31"/>
    <x v="8"/>
    <x v="0"/>
    <n v="1.625"/>
    <x v="1"/>
  </r>
  <r>
    <x v="66"/>
    <x v="65"/>
    <x v="0"/>
    <x v="3"/>
    <x v="44"/>
    <x v="6"/>
    <x v="0"/>
    <n v="1.2857142857142858"/>
    <x v="1"/>
  </r>
  <r>
    <x v="67"/>
    <x v="66"/>
    <x v="0"/>
    <x v="3"/>
    <x v="8"/>
    <x v="39"/>
    <x v="0"/>
    <n v="1.125"/>
    <x v="1"/>
  </r>
  <r>
    <x v="68"/>
    <x v="67"/>
    <x v="0"/>
    <x v="3"/>
    <x v="4"/>
    <x v="34"/>
    <x v="0"/>
    <n v="1.125"/>
    <x v="1"/>
  </r>
  <r>
    <x v="69"/>
    <x v="68"/>
    <x v="0"/>
    <x v="8"/>
    <x v="45"/>
    <x v="34"/>
    <x v="0"/>
    <n v="1.4285714285714286"/>
    <x v="1"/>
  </r>
  <r>
    <x v="70"/>
    <x v="69"/>
    <x v="1"/>
    <x v="9"/>
    <x v="32"/>
    <x v="40"/>
    <x v="0"/>
    <n v="1.1428571428571428"/>
    <x v="1"/>
  </r>
  <r>
    <x v="71"/>
    <x v="70"/>
    <x v="0"/>
    <x v="3"/>
    <x v="40"/>
    <x v="8"/>
    <x v="0"/>
    <n v="1.125"/>
    <x v="1"/>
  </r>
  <r>
    <x v="72"/>
    <x v="59"/>
    <x v="0"/>
    <x v="9"/>
    <x v="46"/>
    <x v="41"/>
    <x v="3"/>
    <n v="1.1428571428571428"/>
    <x v="2"/>
  </r>
  <r>
    <x v="73"/>
    <x v="71"/>
    <x v="0"/>
    <x v="9"/>
    <x v="47"/>
    <x v="8"/>
    <x v="0"/>
    <n v="1.1428571428571428"/>
    <x v="1"/>
  </r>
  <r>
    <x v="74"/>
    <x v="72"/>
    <x v="1"/>
    <x v="3"/>
    <x v="48"/>
    <x v="42"/>
    <x v="4"/>
    <n v="1.5"/>
    <x v="2"/>
  </r>
  <r>
    <x v="75"/>
    <x v="73"/>
    <x v="0"/>
    <x v="2"/>
    <x v="13"/>
    <x v="43"/>
    <x v="1"/>
    <n v="1.2"/>
    <x v="2"/>
  </r>
  <r>
    <x v="76"/>
    <x v="74"/>
    <x v="0"/>
    <x v="9"/>
    <x v="15"/>
    <x v="44"/>
    <x v="2"/>
    <n v="1"/>
    <x v="1"/>
  </r>
  <r>
    <x v="77"/>
    <x v="75"/>
    <x v="0"/>
    <x v="3"/>
    <x v="27"/>
    <x v="27"/>
    <x v="2"/>
    <n v="1"/>
    <x v="1"/>
  </r>
  <r>
    <x v="78"/>
    <x v="76"/>
    <x v="0"/>
    <x v="3"/>
    <x v="17"/>
    <x v="0"/>
    <x v="0"/>
    <n v="1.125"/>
    <x v="1"/>
  </r>
  <r>
    <x v="79"/>
    <x v="77"/>
    <x v="0"/>
    <x v="9"/>
    <x v="35"/>
    <x v="45"/>
    <x v="3"/>
    <n v="1.1428571428571428"/>
    <x v="1"/>
  </r>
  <r>
    <x v="80"/>
    <x v="78"/>
    <x v="1"/>
    <x v="1"/>
    <x v="39"/>
    <x v="27"/>
    <x v="2"/>
    <n v="0.77777777777777779"/>
    <x v="1"/>
  </r>
  <r>
    <x v="81"/>
    <x v="79"/>
    <x v="0"/>
    <x v="5"/>
    <x v="9"/>
    <x v="46"/>
    <x v="3"/>
    <n v="1.7142857142857142"/>
    <x v="2"/>
  </r>
  <r>
    <x v="82"/>
    <x v="80"/>
    <x v="0"/>
    <x v="8"/>
    <x v="49"/>
    <x v="27"/>
    <x v="2"/>
    <n v="1.25"/>
    <x v="1"/>
  </r>
  <r>
    <x v="83"/>
    <x v="81"/>
    <x v="0"/>
    <x v="8"/>
    <x v="8"/>
    <x v="20"/>
    <x v="3"/>
    <n v="1.4285714285714286"/>
    <x v="1"/>
  </r>
  <r>
    <x v="84"/>
    <x v="82"/>
    <x v="0"/>
    <x v="8"/>
    <x v="31"/>
    <x v="34"/>
    <x v="0"/>
    <n v="1.25"/>
    <x v="1"/>
  </r>
  <r>
    <x v="85"/>
    <x v="83"/>
    <x v="0"/>
    <x v="8"/>
    <x v="42"/>
    <x v="47"/>
    <x v="0"/>
    <n v="1.25"/>
    <x v="1"/>
  </r>
  <r>
    <x v="86"/>
    <x v="84"/>
    <x v="0"/>
    <x v="3"/>
    <x v="50"/>
    <x v="48"/>
    <x v="3"/>
    <n v="1.5"/>
    <x v="1"/>
  </r>
  <r>
    <x v="87"/>
    <x v="85"/>
    <x v="0"/>
    <x v="0"/>
    <x v="14"/>
    <x v="49"/>
    <x v="0"/>
    <n v="2.125"/>
    <x v="0"/>
  </r>
  <r>
    <x v="88"/>
    <x v="86"/>
    <x v="0"/>
    <x v="5"/>
    <x v="5"/>
    <x v="14"/>
    <x v="0"/>
    <n v="1.5"/>
    <x v="1"/>
  </r>
  <r>
    <x v="89"/>
    <x v="87"/>
    <x v="2"/>
    <x v="14"/>
    <x v="13"/>
    <x v="41"/>
    <x v="3"/>
    <n v="0.5714285714285714"/>
    <x v="2"/>
  </r>
  <r>
    <x v="90"/>
    <x v="88"/>
    <x v="0"/>
    <x v="1"/>
    <x v="30"/>
    <x v="14"/>
    <x v="0"/>
    <n v="1"/>
    <x v="1"/>
  </r>
  <r>
    <x v="91"/>
    <x v="89"/>
    <x v="2"/>
    <x v="14"/>
    <x v="51"/>
    <x v="50"/>
    <x v="5"/>
    <n v="4"/>
    <x v="0"/>
  </r>
  <r>
    <x v="92"/>
    <x v="90"/>
    <x v="0"/>
    <x v="5"/>
    <x v="40"/>
    <x v="5"/>
    <x v="2"/>
    <n v="1.3333333333333333"/>
    <x v="1"/>
  </r>
  <r>
    <x v="93"/>
    <x v="91"/>
    <x v="0"/>
    <x v="15"/>
    <x v="2"/>
    <x v="5"/>
    <x v="2"/>
    <n v="2.1111111111111112"/>
    <x v="0"/>
  </r>
  <r>
    <x v="94"/>
    <x v="92"/>
    <x v="0"/>
    <x v="9"/>
    <x v="33"/>
    <x v="34"/>
    <x v="0"/>
    <n v="1"/>
    <x v="1"/>
  </r>
  <r>
    <x v="95"/>
    <x v="93"/>
    <x v="0"/>
    <x v="8"/>
    <x v="39"/>
    <x v="8"/>
    <x v="0"/>
    <n v="1.25"/>
    <x v="1"/>
  </r>
  <r>
    <x v="96"/>
    <x v="94"/>
    <x v="0"/>
    <x v="8"/>
    <x v="28"/>
    <x v="4"/>
    <x v="0"/>
    <n v="1.25"/>
    <x v="1"/>
  </r>
  <r>
    <x v="97"/>
    <x v="95"/>
    <x v="0"/>
    <x v="1"/>
    <x v="52"/>
    <x v="30"/>
    <x v="0"/>
    <n v="1.1666666666666667"/>
    <x v="1"/>
  </r>
  <r>
    <x v="98"/>
    <x v="96"/>
    <x v="0"/>
    <x v="5"/>
    <x v="6"/>
    <x v="0"/>
    <x v="0"/>
    <n v="1.5"/>
    <x v="1"/>
  </r>
  <r>
    <x v="99"/>
    <x v="80"/>
    <x v="0"/>
    <x v="8"/>
    <x v="2"/>
    <x v="11"/>
    <x v="0"/>
    <n v="1.25"/>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n v="15"/>
    <d v="2025-01-09T00:00:00"/>
    <d v="2025-09-30T00:00:00"/>
    <n v="7"/>
    <n v="1.875"/>
    <s v="Pasif"/>
    <x v="0"/>
    <s v="Diamond"/>
  </r>
  <r>
    <x v="1"/>
    <n v="17"/>
    <d v="2025-01-19T00:00:00"/>
    <d v="2025-09-16T00:00:00"/>
    <n v="7"/>
    <n v="2.125"/>
    <s v="Loyal"/>
    <x v="1"/>
    <s v="Diamond"/>
  </r>
  <r>
    <x v="2"/>
    <n v="14"/>
    <d v="2025-01-07T00:00:00"/>
    <d v="2025-09-06T00:00:00"/>
    <n v="7"/>
    <n v="1.75"/>
    <s v="Pasif"/>
    <x v="2"/>
    <s v="Diamond"/>
  </r>
  <r>
    <x v="3"/>
    <n v="15"/>
    <d v="2025-01-11T00:00:00"/>
    <d v="2025-09-30T00:00:00"/>
    <n v="7"/>
    <n v="1.875"/>
    <s v="Pasif"/>
    <x v="3"/>
    <s v="Diamond"/>
  </r>
  <r>
    <x v="4"/>
    <n v="13"/>
    <d v="2025-03-04T00:00:00"/>
    <d v="2025-09-23T00:00:00"/>
    <n v="7"/>
    <n v="2.1666666666666665"/>
    <s v="Loyal"/>
    <x v="3"/>
    <s v="Diamond"/>
  </r>
  <r>
    <x v="5"/>
    <n v="17"/>
    <d v="2025-01-26T00:00:00"/>
    <d v="2025-09-09T00:00:00"/>
    <n v="7"/>
    <n v="2.125"/>
    <s v="Loyal"/>
    <x v="4"/>
    <s v="Diamond"/>
  </r>
  <r>
    <x v="6"/>
    <n v="19"/>
    <d v="2025-01-03T00:00:00"/>
    <d v="2025-10-02T00:00:00"/>
    <n v="6"/>
    <n v="2.1111111111111112"/>
    <s v="Loyal"/>
    <x v="5"/>
    <s v="Diamond"/>
  </r>
  <r>
    <x v="7"/>
    <n v="16"/>
    <d v="2025-01-05T00:00:00"/>
    <d v="2025-09-15T00:00:00"/>
    <n v="7"/>
    <n v="2"/>
    <s v="Loyal"/>
    <x v="6"/>
    <s v="Diamond"/>
  </r>
  <r>
    <x v="8"/>
    <n v="12"/>
    <d v="2025-01-17T00:00:00"/>
    <d v="2025-09-13T00:00:00"/>
    <n v="7"/>
    <n v="1.5"/>
    <s v="Pasif"/>
    <x v="7"/>
    <s v="Diamo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9A3E60-1892-4459-AFB1-910CA19DC916}" name="PivotTable1" cacheId="0"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chartFormat="16" rowHeaderCaption="Kelompok">
  <location ref="A3:B8" firstHeaderRow="1" firstDataRow="1" firstDataCol="1"/>
  <pivotFields count="13">
    <pivotField dataField="1"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umFmtId="166" showAll="0">
      <items count="98">
        <item x="49"/>
        <item x="2"/>
        <item x="21"/>
        <item x="78"/>
        <item x="69"/>
        <item x="72"/>
        <item x="89"/>
        <item x="14"/>
        <item x="52"/>
        <item x="87"/>
        <item x="36"/>
        <item x="22"/>
        <item x="39"/>
        <item x="13"/>
        <item x="28"/>
        <item x="27"/>
        <item x="42"/>
        <item x="70"/>
        <item x="77"/>
        <item x="41"/>
        <item x="54"/>
        <item x="47"/>
        <item x="5"/>
        <item x="64"/>
        <item x="38"/>
        <item x="71"/>
        <item x="60"/>
        <item x="3"/>
        <item x="76"/>
        <item x="53"/>
        <item x="88"/>
        <item x="17"/>
        <item x="96"/>
        <item x="75"/>
        <item x="95"/>
        <item x="68"/>
        <item x="12"/>
        <item x="59"/>
        <item x="7"/>
        <item x="84"/>
        <item x="51"/>
        <item x="26"/>
        <item x="16"/>
        <item x="45"/>
        <item x="15"/>
        <item x="58"/>
        <item x="9"/>
        <item x="19"/>
        <item x="73"/>
        <item x="66"/>
        <item x="18"/>
        <item x="55"/>
        <item x="33"/>
        <item x="93"/>
        <item x="31"/>
        <item x="92"/>
        <item x="24"/>
        <item x="25"/>
        <item x="44"/>
        <item x="67"/>
        <item x="90"/>
        <item x="48"/>
        <item x="80"/>
        <item x="29"/>
        <item x="74"/>
        <item x="1"/>
        <item x="81"/>
        <item x="79"/>
        <item x="30"/>
        <item x="0"/>
        <item x="46"/>
        <item x="61"/>
        <item x="23"/>
        <item x="4"/>
        <item x="83"/>
        <item x="57"/>
        <item x="35"/>
        <item x="63"/>
        <item x="82"/>
        <item x="50"/>
        <item x="94"/>
        <item x="37"/>
        <item x="56"/>
        <item x="11"/>
        <item x="65"/>
        <item x="20"/>
        <item x="10"/>
        <item x="34"/>
        <item x="86"/>
        <item x="40"/>
        <item x="43"/>
        <item x="91"/>
        <item x="85"/>
        <item x="32"/>
        <item x="8"/>
        <item x="6"/>
        <item x="62"/>
        <item t="default"/>
      </items>
    </pivotField>
    <pivotField axis="axisRow" showAll="0">
      <items count="5">
        <item x="3"/>
        <item x="0"/>
        <item x="2"/>
        <item x="1"/>
        <item t="default"/>
      </items>
    </pivotField>
    <pivotField showAll="0">
      <items count="17">
        <item x="6"/>
        <item x="14"/>
        <item x="12"/>
        <item x="2"/>
        <item x="1"/>
        <item x="9"/>
        <item x="3"/>
        <item x="8"/>
        <item x="4"/>
        <item x="5"/>
        <item x="10"/>
        <item x="7"/>
        <item x="11"/>
        <item x="13"/>
        <item x="0"/>
        <item x="15"/>
        <item t="default"/>
      </items>
    </pivotField>
    <pivotField numFmtId="165" showAll="0">
      <items count="54">
        <item x="2"/>
        <item x="31"/>
        <item x="13"/>
        <item x="8"/>
        <item x="9"/>
        <item x="43"/>
        <item x="11"/>
        <item x="0"/>
        <item x="42"/>
        <item x="21"/>
        <item x="28"/>
        <item x="40"/>
        <item x="38"/>
        <item x="27"/>
        <item x="33"/>
        <item x="6"/>
        <item x="19"/>
        <item x="39"/>
        <item x="35"/>
        <item x="17"/>
        <item x="12"/>
        <item x="14"/>
        <item x="4"/>
        <item x="5"/>
        <item x="46"/>
        <item x="48"/>
        <item x="3"/>
        <item x="16"/>
        <item x="44"/>
        <item x="24"/>
        <item x="49"/>
        <item x="22"/>
        <item x="36"/>
        <item x="30"/>
        <item x="47"/>
        <item x="45"/>
        <item x="10"/>
        <item x="50"/>
        <item x="15"/>
        <item x="37"/>
        <item x="32"/>
        <item x="41"/>
        <item x="1"/>
        <item x="25"/>
        <item x="26"/>
        <item x="20"/>
        <item x="34"/>
        <item x="29"/>
        <item x="52"/>
        <item x="18"/>
        <item x="51"/>
        <item x="23"/>
        <item x="7"/>
        <item t="default"/>
      </items>
    </pivotField>
    <pivotField numFmtId="165" showAll="0">
      <items count="52">
        <item x="32"/>
        <item x="50"/>
        <item x="2"/>
        <item x="22"/>
        <item x="26"/>
        <item x="43"/>
        <item x="36"/>
        <item x="10"/>
        <item x="15"/>
        <item x="31"/>
        <item x="42"/>
        <item x="33"/>
        <item x="41"/>
        <item x="46"/>
        <item x="37"/>
        <item x="17"/>
        <item x="20"/>
        <item x="19"/>
        <item x="21"/>
        <item x="23"/>
        <item x="48"/>
        <item x="35"/>
        <item x="45"/>
        <item x="18"/>
        <item x="9"/>
        <item x="1"/>
        <item x="24"/>
        <item x="7"/>
        <item x="38"/>
        <item x="49"/>
        <item x="14"/>
        <item x="4"/>
        <item x="28"/>
        <item x="29"/>
        <item x="25"/>
        <item x="11"/>
        <item x="3"/>
        <item x="47"/>
        <item x="40"/>
        <item x="16"/>
        <item x="0"/>
        <item x="12"/>
        <item x="30"/>
        <item x="39"/>
        <item x="34"/>
        <item x="6"/>
        <item x="13"/>
        <item x="8"/>
        <item x="27"/>
        <item x="5"/>
        <item x="44"/>
        <item t="default"/>
      </items>
    </pivotField>
    <pivotField showAll="0"/>
    <pivotField showAll="0"/>
    <pivotField showAll="0">
      <items count="4">
        <item x="1"/>
        <item x="0"/>
        <item x="2"/>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5">
    <i>
      <x/>
    </i>
    <i>
      <x v="1"/>
    </i>
    <i>
      <x v="2"/>
    </i>
    <i>
      <x v="3"/>
    </i>
    <i t="grand">
      <x/>
    </i>
  </rowItems>
  <colItems count="1">
    <i/>
  </colItems>
  <dataFields count="1">
    <dataField name="Hitung dari Nama_Donatur" fld="0" subtotal="count" baseField="0" baseItem="0"/>
  </dataFields>
  <chartFormats count="15">
    <chartFormat chart="3" format="1"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0"/>
          </reference>
        </references>
      </pivotArea>
    </chartFormat>
    <chartFormat chart="7" format="8">
      <pivotArea type="data" outline="0" fieldPosition="0">
        <references count="2">
          <reference field="4294967294" count="1" selected="0">
            <x v="0"/>
          </reference>
          <reference field="2" count="1" selected="0">
            <x v="0"/>
          </reference>
        </references>
      </pivotArea>
    </chartFormat>
    <chartFormat chart="7" format="9">
      <pivotArea type="data" outline="0" fieldPosition="0">
        <references count="2">
          <reference field="4294967294" count="1" selected="0">
            <x v="0"/>
          </reference>
          <reference field="2" count="1" selected="0">
            <x v="1"/>
          </reference>
        </references>
      </pivotArea>
    </chartFormat>
    <chartFormat chart="7" format="10">
      <pivotArea type="data" outline="0" fieldPosition="0">
        <references count="2">
          <reference field="4294967294" count="1" selected="0">
            <x v="0"/>
          </reference>
          <reference field="2" count="1" selected="0">
            <x v="2"/>
          </reference>
        </references>
      </pivotArea>
    </chartFormat>
    <chartFormat chart="7" format="11">
      <pivotArea type="data" outline="0" fieldPosition="0">
        <references count="2">
          <reference field="4294967294" count="1" selected="0">
            <x v="0"/>
          </reference>
          <reference field="2" count="1" selected="0">
            <x v="3"/>
          </reference>
        </references>
      </pivotArea>
    </chartFormat>
    <chartFormat chart="3" format="2">
      <pivotArea type="data" outline="0" fieldPosition="0">
        <references count="2">
          <reference field="4294967294" count="1" selected="0">
            <x v="0"/>
          </reference>
          <reference field="2" count="1" selected="0">
            <x v="0"/>
          </reference>
        </references>
      </pivotArea>
    </chartFormat>
    <chartFormat chart="3" format="3">
      <pivotArea type="data" outline="0" fieldPosition="0">
        <references count="2">
          <reference field="4294967294" count="1" selected="0">
            <x v="0"/>
          </reference>
          <reference field="2" count="1" selected="0">
            <x v="1"/>
          </reference>
        </references>
      </pivotArea>
    </chartFormat>
    <chartFormat chart="3" format="4">
      <pivotArea type="data" outline="0" fieldPosition="0">
        <references count="2">
          <reference field="4294967294" count="1" selected="0">
            <x v="0"/>
          </reference>
          <reference field="2" count="1" selected="0">
            <x v="2"/>
          </reference>
        </references>
      </pivotArea>
    </chartFormat>
    <chartFormat chart="3" format="5">
      <pivotArea type="data" outline="0" fieldPosition="0">
        <references count="2">
          <reference field="4294967294" count="1" selected="0">
            <x v="0"/>
          </reference>
          <reference field="2" count="1" selected="0">
            <x v="3"/>
          </reference>
        </references>
      </pivotArea>
    </chartFormat>
    <chartFormat chart="15" format="11" series="1">
      <pivotArea type="data" outline="0" fieldPosition="0">
        <references count="1">
          <reference field="4294967294" count="1" selected="0">
            <x v="0"/>
          </reference>
        </references>
      </pivotArea>
    </chartFormat>
    <chartFormat chart="15" format="12">
      <pivotArea type="data" outline="0" fieldPosition="0">
        <references count="2">
          <reference field="4294967294" count="1" selected="0">
            <x v="0"/>
          </reference>
          <reference field="2" count="1" selected="0">
            <x v="0"/>
          </reference>
        </references>
      </pivotArea>
    </chartFormat>
    <chartFormat chart="15" format="13">
      <pivotArea type="data" outline="0" fieldPosition="0">
        <references count="2">
          <reference field="4294967294" count="1" selected="0">
            <x v="0"/>
          </reference>
          <reference field="2" count="1" selected="0">
            <x v="1"/>
          </reference>
        </references>
      </pivotArea>
    </chartFormat>
    <chartFormat chart="15" format="14">
      <pivotArea type="data" outline="0" fieldPosition="0">
        <references count="2">
          <reference field="4294967294" count="1" selected="0">
            <x v="0"/>
          </reference>
          <reference field="2" count="1" selected="0">
            <x v="2"/>
          </reference>
        </references>
      </pivotArea>
    </chartFormat>
    <chartFormat chart="15" format="15">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02EA4F-A773-4EAB-A9A3-F28583ED8DC9}" name="PivotTable2" cacheId="0"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chartFormat="12">
  <location ref="A3:B7" firstHeaderRow="1" firstDataRow="1" firstDataCol="1"/>
  <pivotFields count="13">
    <pivotField dataField="1"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umFmtId="166" showAll="0">
      <items count="98">
        <item x="49"/>
        <item x="2"/>
        <item x="21"/>
        <item x="78"/>
        <item x="69"/>
        <item x="72"/>
        <item x="89"/>
        <item x="14"/>
        <item x="52"/>
        <item x="87"/>
        <item x="36"/>
        <item x="22"/>
        <item x="39"/>
        <item x="13"/>
        <item x="28"/>
        <item x="27"/>
        <item x="42"/>
        <item x="70"/>
        <item x="77"/>
        <item x="41"/>
        <item x="54"/>
        <item x="47"/>
        <item x="5"/>
        <item x="64"/>
        <item x="38"/>
        <item x="71"/>
        <item x="60"/>
        <item x="3"/>
        <item x="76"/>
        <item x="53"/>
        <item x="88"/>
        <item x="17"/>
        <item x="96"/>
        <item x="75"/>
        <item x="95"/>
        <item x="68"/>
        <item x="12"/>
        <item x="59"/>
        <item x="7"/>
        <item x="84"/>
        <item x="51"/>
        <item x="26"/>
        <item x="16"/>
        <item x="45"/>
        <item x="15"/>
        <item x="58"/>
        <item x="9"/>
        <item x="19"/>
        <item x="73"/>
        <item x="66"/>
        <item x="18"/>
        <item x="55"/>
        <item x="33"/>
        <item x="93"/>
        <item x="31"/>
        <item x="92"/>
        <item x="24"/>
        <item x="25"/>
        <item x="44"/>
        <item x="67"/>
        <item x="90"/>
        <item x="48"/>
        <item x="80"/>
        <item x="29"/>
        <item x="74"/>
        <item x="1"/>
        <item x="81"/>
        <item x="79"/>
        <item x="30"/>
        <item x="0"/>
        <item x="46"/>
        <item x="61"/>
        <item x="23"/>
        <item x="4"/>
        <item x="83"/>
        <item x="57"/>
        <item x="35"/>
        <item x="63"/>
        <item x="82"/>
        <item x="50"/>
        <item x="94"/>
        <item x="37"/>
        <item x="56"/>
        <item x="11"/>
        <item x="65"/>
        <item x="20"/>
        <item x="10"/>
        <item x="34"/>
        <item x="86"/>
        <item x="40"/>
        <item x="43"/>
        <item x="91"/>
        <item x="85"/>
        <item x="32"/>
        <item x="8"/>
        <item x="6"/>
        <item x="62"/>
        <item t="default"/>
      </items>
    </pivotField>
    <pivotField showAll="0">
      <items count="5">
        <item x="3"/>
        <item x="0"/>
        <item x="2"/>
        <item x="1"/>
        <item t="default"/>
      </items>
    </pivotField>
    <pivotField showAll="0">
      <items count="17">
        <item x="6"/>
        <item x="14"/>
        <item x="12"/>
        <item x="2"/>
        <item x="1"/>
        <item x="9"/>
        <item x="3"/>
        <item x="8"/>
        <item x="4"/>
        <item x="5"/>
        <item x="10"/>
        <item x="7"/>
        <item x="11"/>
        <item x="13"/>
        <item x="0"/>
        <item x="15"/>
        <item t="default"/>
      </items>
    </pivotField>
    <pivotField numFmtId="165" showAll="0">
      <items count="54">
        <item x="2"/>
        <item x="31"/>
        <item x="13"/>
        <item x="8"/>
        <item x="9"/>
        <item x="43"/>
        <item x="11"/>
        <item x="0"/>
        <item x="42"/>
        <item x="21"/>
        <item x="28"/>
        <item x="40"/>
        <item x="38"/>
        <item x="27"/>
        <item x="33"/>
        <item x="6"/>
        <item x="19"/>
        <item x="39"/>
        <item x="35"/>
        <item x="17"/>
        <item x="12"/>
        <item x="14"/>
        <item x="4"/>
        <item x="5"/>
        <item x="46"/>
        <item x="48"/>
        <item x="3"/>
        <item x="16"/>
        <item x="44"/>
        <item x="24"/>
        <item x="49"/>
        <item x="22"/>
        <item x="36"/>
        <item x="30"/>
        <item x="47"/>
        <item x="45"/>
        <item x="10"/>
        <item x="50"/>
        <item x="15"/>
        <item x="37"/>
        <item x="32"/>
        <item x="41"/>
        <item x="1"/>
        <item x="25"/>
        <item x="26"/>
        <item x="20"/>
        <item x="34"/>
        <item x="29"/>
        <item x="52"/>
        <item x="18"/>
        <item x="51"/>
        <item x="23"/>
        <item x="7"/>
        <item t="default"/>
      </items>
    </pivotField>
    <pivotField numFmtId="165" showAll="0">
      <items count="52">
        <item x="32"/>
        <item x="50"/>
        <item x="2"/>
        <item x="22"/>
        <item x="26"/>
        <item x="43"/>
        <item x="36"/>
        <item x="10"/>
        <item x="15"/>
        <item x="31"/>
        <item x="42"/>
        <item x="33"/>
        <item x="41"/>
        <item x="46"/>
        <item x="37"/>
        <item x="17"/>
        <item x="20"/>
        <item x="19"/>
        <item x="21"/>
        <item x="23"/>
        <item x="48"/>
        <item x="35"/>
        <item x="45"/>
        <item x="18"/>
        <item x="9"/>
        <item x="1"/>
        <item x="24"/>
        <item x="7"/>
        <item x="38"/>
        <item x="49"/>
        <item x="14"/>
        <item x="4"/>
        <item x="28"/>
        <item x="29"/>
        <item x="25"/>
        <item x="11"/>
        <item x="3"/>
        <item x="47"/>
        <item x="40"/>
        <item x="16"/>
        <item x="0"/>
        <item x="12"/>
        <item x="30"/>
        <item x="39"/>
        <item x="34"/>
        <item x="6"/>
        <item x="13"/>
        <item x="8"/>
        <item x="27"/>
        <item x="5"/>
        <item x="44"/>
        <item t="default"/>
      </items>
    </pivotField>
    <pivotField showAll="0"/>
    <pivotField showAll="0"/>
    <pivotField axis="axisRow" showAll="0">
      <items count="4">
        <item x="1"/>
        <item x="0"/>
        <item x="2"/>
        <item t="default"/>
      </items>
    </pivotField>
    <pivotField showAll="0" defaultSubtotal="0"/>
    <pivotField showAll="0" defaultSubtotal="0">
      <items count="14">
        <item x="0"/>
        <item x="1"/>
        <item x="2"/>
        <item x="3"/>
        <item x="4"/>
        <item x="5"/>
        <item x="6"/>
        <item x="7"/>
        <item x="8"/>
        <item x="9"/>
        <item x="10"/>
        <item x="11"/>
        <item x="12"/>
        <item x="13"/>
      </items>
    </pivotField>
    <pivotField showAll="0" defaultSubtotal="0"/>
    <pivotField showAll="0" defaultSubtotal="0">
      <items count="14">
        <item x="0"/>
        <item x="1"/>
        <item x="2"/>
        <item x="3"/>
        <item x="4"/>
        <item x="5"/>
        <item x="6"/>
        <item x="7"/>
        <item x="8"/>
        <item x="9"/>
        <item x="10"/>
        <item x="11"/>
        <item x="12"/>
        <item x="13"/>
      </items>
    </pivotField>
  </pivotFields>
  <rowFields count="1">
    <field x="8"/>
  </rowFields>
  <rowItems count="4">
    <i>
      <x/>
    </i>
    <i>
      <x v="1"/>
    </i>
    <i>
      <x v="2"/>
    </i>
    <i t="grand">
      <x/>
    </i>
  </rowItems>
  <colItems count="1">
    <i/>
  </colItems>
  <dataFields count="1">
    <dataField name="Hitung dari Nama_Donatur" fld="0" subtotal="count" baseField="0" baseItem="0"/>
  </dataFields>
  <chartFormats count="28">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8" count="1" selected="0">
            <x v="0"/>
          </reference>
        </references>
      </pivotArea>
    </chartFormat>
    <chartFormat chart="4" format="3">
      <pivotArea type="data" outline="0" fieldPosition="0">
        <references count="2">
          <reference field="4294967294" count="1" selected="0">
            <x v="0"/>
          </reference>
          <reference field="8" count="1" selected="0">
            <x v="1"/>
          </reference>
        </references>
      </pivotArea>
    </chartFormat>
    <chartFormat chart="4" format="4">
      <pivotArea type="data" outline="0" fieldPosition="0">
        <references count="2">
          <reference field="4294967294" count="1" selected="0">
            <x v="0"/>
          </reference>
          <reference field="8" count="1" selected="0">
            <x v="2"/>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8" count="1" selected="0">
            <x v="0"/>
          </reference>
        </references>
      </pivotArea>
    </chartFormat>
    <chartFormat chart="5" format="7">
      <pivotArea type="data" outline="0" fieldPosition="0">
        <references count="2">
          <reference field="4294967294" count="1" selected="0">
            <x v="0"/>
          </reference>
          <reference field="8" count="1" selected="0">
            <x v="1"/>
          </reference>
        </references>
      </pivotArea>
    </chartFormat>
    <chartFormat chart="5" format="8">
      <pivotArea type="data" outline="0" fieldPosition="0">
        <references count="2">
          <reference field="4294967294" count="1" selected="0">
            <x v="0"/>
          </reference>
          <reference field="8" count="1" selected="0">
            <x v="2"/>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8" count="1" selected="0">
            <x v="0"/>
          </reference>
        </references>
      </pivotArea>
    </chartFormat>
    <chartFormat chart="6" format="7">
      <pivotArea type="data" outline="0" fieldPosition="0">
        <references count="2">
          <reference field="4294967294" count="1" selected="0">
            <x v="0"/>
          </reference>
          <reference field="8" count="1" selected="0">
            <x v="1"/>
          </reference>
        </references>
      </pivotArea>
    </chartFormat>
    <chartFormat chart="6" format="8">
      <pivotArea type="data" outline="0" fieldPosition="0">
        <references count="2">
          <reference field="4294967294" count="1" selected="0">
            <x v="0"/>
          </reference>
          <reference field="8" count="1" selected="0">
            <x v="2"/>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8" count="1" selected="0">
            <x v="0"/>
          </reference>
        </references>
      </pivotArea>
    </chartFormat>
    <chartFormat chart="7" format="6">
      <pivotArea type="data" outline="0" fieldPosition="0">
        <references count="2">
          <reference field="4294967294" count="1" selected="0">
            <x v="0"/>
          </reference>
          <reference field="8" count="1" selected="0">
            <x v="1"/>
          </reference>
        </references>
      </pivotArea>
    </chartFormat>
    <chartFormat chart="7" format="7">
      <pivotArea type="data" outline="0" fieldPosition="0">
        <references count="2">
          <reference field="4294967294" count="1" selected="0">
            <x v="0"/>
          </reference>
          <reference field="8" count="1" selected="0">
            <x v="2"/>
          </reference>
        </references>
      </pivotArea>
    </chartFormat>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8" count="1" selected="0">
            <x v="0"/>
          </reference>
        </references>
      </pivotArea>
    </chartFormat>
    <chartFormat chart="8" format="10">
      <pivotArea type="data" outline="0" fieldPosition="0">
        <references count="2">
          <reference field="4294967294" count="1" selected="0">
            <x v="0"/>
          </reference>
          <reference field="8" count="1" selected="0">
            <x v="1"/>
          </reference>
        </references>
      </pivotArea>
    </chartFormat>
    <chartFormat chart="8" format="11">
      <pivotArea type="data" outline="0" fieldPosition="0">
        <references count="2">
          <reference field="4294967294" count="1" selected="0">
            <x v="0"/>
          </reference>
          <reference field="8" count="1" selected="0">
            <x v="2"/>
          </reference>
        </references>
      </pivotArea>
    </chartFormat>
    <chartFormat chart="9" format="8" series="1">
      <pivotArea type="data" outline="0" fieldPosition="0">
        <references count="1">
          <reference field="4294967294" count="1" selected="0">
            <x v="0"/>
          </reference>
        </references>
      </pivotArea>
    </chartFormat>
    <chartFormat chart="9" format="9">
      <pivotArea type="data" outline="0" fieldPosition="0">
        <references count="2">
          <reference field="4294967294" count="1" selected="0">
            <x v="0"/>
          </reference>
          <reference field="8" count="1" selected="0">
            <x v="0"/>
          </reference>
        </references>
      </pivotArea>
    </chartFormat>
    <chartFormat chart="9" format="10">
      <pivotArea type="data" outline="0" fieldPosition="0">
        <references count="2">
          <reference field="4294967294" count="1" selected="0">
            <x v="0"/>
          </reference>
          <reference field="8" count="1" selected="0">
            <x v="1"/>
          </reference>
        </references>
      </pivotArea>
    </chartFormat>
    <chartFormat chart="9" format="1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29A207B-4C11-40A4-871B-3B631C22C5A2}" name="PivotTable1" cacheId="5" applyNumberFormats="0" applyBorderFormats="0" applyFontFormats="0" applyPatternFormats="0" applyAlignmentFormats="0" applyWidthHeightFormats="1" dataCaption="Nilai" updatedVersion="8" minRefreshableVersion="3" useAutoFormatting="1" itemPrintTitles="1" createdVersion="8" indent="0" outline="1" outlineData="1" multipleFieldFilters="0" chartFormat="9">
  <location ref="A3:B13" firstHeaderRow="1" firstDataRow="1" firstDataCol="1"/>
  <pivotFields count="9">
    <pivotField axis="axisRow" showAll="0">
      <items count="10">
        <item x="1"/>
        <item x="2"/>
        <item x="3"/>
        <item x="8"/>
        <item x="4"/>
        <item x="7"/>
        <item x="0"/>
        <item x="5"/>
        <item x="6"/>
        <item t="default"/>
      </items>
    </pivotField>
    <pivotField showAll="0"/>
    <pivotField numFmtId="165" showAll="0"/>
    <pivotField numFmtId="165" showAll="0"/>
    <pivotField showAll="0"/>
    <pivotField showAll="0"/>
    <pivotField showAll="0"/>
    <pivotField dataField="1" numFmtId="166" showAll="0">
      <items count="9">
        <item x="7"/>
        <item x="6"/>
        <item x="5"/>
        <item x="4"/>
        <item x="3"/>
        <item x="2"/>
        <item x="1"/>
        <item x="0"/>
        <item t="default"/>
      </items>
    </pivotField>
    <pivotField showAll="0"/>
  </pivotFields>
  <rowFields count="1">
    <field x="0"/>
  </rowFields>
  <rowItems count="10">
    <i>
      <x/>
    </i>
    <i>
      <x v="1"/>
    </i>
    <i>
      <x v="2"/>
    </i>
    <i>
      <x v="3"/>
    </i>
    <i>
      <x v="4"/>
    </i>
    <i>
      <x v="5"/>
    </i>
    <i>
      <x v="6"/>
    </i>
    <i>
      <x v="7"/>
    </i>
    <i>
      <x v="8"/>
    </i>
    <i t="grand">
      <x/>
    </i>
  </rowItems>
  <colItems count="1">
    <i/>
  </colItems>
  <dataFields count="1">
    <dataField name="Jumlah dari Jumlah dari Nominal" fld="7" baseField="0" baseItem="0" numFmtId="166"/>
  </dataField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8"/>
          </reference>
        </references>
      </pivotArea>
    </chartFormat>
    <chartFormat chart="0" format="1">
      <pivotArea type="data" outline="0" fieldPosition="0">
        <references count="2">
          <reference field="4294967294" count="1" selected="0">
            <x v="0"/>
          </reference>
          <reference field="0" count="1" selected="0">
            <x v="6"/>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0" count="1" selected="0">
            <x v="0"/>
          </reference>
        </references>
      </pivotArea>
    </chartFormat>
    <chartFormat chart="8" format="8">
      <pivotArea type="data" outline="0" fieldPosition="0">
        <references count="2">
          <reference field="4294967294" count="1" selected="0">
            <x v="0"/>
          </reference>
          <reference field="0"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Pemotong_Kelompok1" xr10:uid="{4B01A764-2B44-4C2B-AFD0-C37144B6EC6A}" sourceName="Kelompok">
  <pivotTables>
    <pivotTable tabId="20" name="PivotTable1"/>
    <pivotTable tabId="21" name="PivotTable2"/>
  </pivotTables>
  <data>
    <tabular pivotCacheId="1176991351">
      <items count="4">
        <i x="3" s="1"/>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Pemotong_Status" xr10:uid="{2A9ECF4F-3B06-49E8-975F-4070B190D2B8}" sourceName="Status">
  <pivotTables>
    <pivotTable tabId="20" name="PivotTable1"/>
    <pivotTable tabId="21" name="PivotTable2"/>
  </pivotTables>
  <data>
    <tabular pivotCacheId="1176991351">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elompok 1" xr10:uid="{8D7C7EC1-55AC-45D3-90AE-6F60478B8684}" cache="Pemotong_Kelompok1" caption="Kelompok" rowHeight="234950"/>
  <slicer name="Status" xr10:uid="{B9B44D7B-FE4E-481C-83D6-4EC198D0A11F}" cache="Pemotong_Status" caption="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B2BDAF-CB6C-42B1-91B1-1A0BCB08A413}" name="Data_Donasi" displayName="Data_Donasi" ref="A1:G1001" totalsRowShown="0" tableBorderDxfId="18">
  <autoFilter ref="A1:G1001" xr:uid="{05B2BDAF-CB6C-42B1-91B1-1A0BCB08A413}"/>
  <sortState xmlns:xlrd2="http://schemas.microsoft.com/office/spreadsheetml/2017/richdata2" ref="A2:G1001">
    <sortCondition ref="D1:D1001"/>
  </sortState>
  <tableColumns count="7">
    <tableColumn id="1" xr3:uid="{0FD74D2A-672D-4377-A9DA-0F0698B3A394}" name="Nama_Donatur" dataDxfId="17"/>
    <tableColumn id="2" xr3:uid="{808010A8-BE01-492E-9480-7192CC3170CF}" name="Email" dataDxfId="16"/>
    <tableColumn id="3" xr3:uid="{CE0C0106-25E6-4698-A19E-00A239C03F1A}" name="No_HP" dataDxfId="15"/>
    <tableColumn id="4" xr3:uid="{9EEA04E9-D594-4973-B46D-9143D18E14EF}" name="Tanggal_Donasi" dataDxfId="14"/>
    <tableColumn id="5" xr3:uid="{3053C0D1-FE6E-43FE-A3AE-C028BC5E8032}" name="Nominal" dataDxfId="13"/>
    <tableColumn id="6" xr3:uid="{13A836BE-ADE7-4B38-A49A-F2D1738BA8BF}" name="Kelompok_Jumlah_Donasi" dataDxfId="12">
      <calculatedColumnFormula array="1">_xlfn.IFS(G2&lt;5000000, "Bronze", G2&lt;10000000, "Silver", G2&lt;20000000, "Gold", G2&gt;=20000000, "Diamond")</calculatedColumnFormula>
    </tableColumn>
    <tableColumn id="7" xr3:uid="{CE2BFD89-81EB-47BF-A5D7-0BAD2F2CAE98}" name="Total_Nominal_Per_Donatur" dataDxfId="11">
      <calculatedColumnFormula>SUMIF(Data_Donasi[Nama_Donatur],Data_Donasi[[#This Row],[Nama_Donatur]],Data_Donasi[Nominal])</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D0E1626-C22F-413B-A60F-D9FCAF47C11A}" name="Tabel4" displayName="Tabel4" ref="A1:I101" totalsRowShown="0" headerRowDxfId="10" dataDxfId="9">
  <autoFilter ref="A1:I101" xr:uid="{ED0E1626-C22F-413B-A60F-D9FCAF47C11A}"/>
  <sortState xmlns:xlrd2="http://schemas.microsoft.com/office/spreadsheetml/2017/richdata2" ref="A2:I101">
    <sortCondition descending="1" ref="H1:H101"/>
  </sortState>
  <tableColumns count="9">
    <tableColumn id="1" xr3:uid="{21B9CF3C-5037-446C-BC35-82C2793CB850}" name="Nama_Donatur" dataDxfId="8"/>
    <tableColumn id="4" xr3:uid="{BDE654DF-CF10-4BEE-896D-1C1566173A96}" name="Frekuensi" dataDxfId="7"/>
    <tableColumn id="5" xr3:uid="{37229F74-5939-4291-AD44-79AAB59E203F}" name="Tanggal Awal" dataDxfId="6"/>
    <tableColumn id="6" xr3:uid="{966962E7-7F86-4AAD-B1B0-CDF15BF26988}" name="Tanggal Akhir" dataDxfId="5"/>
    <tableColumn id="7" xr3:uid="{3AC5D127-9852-45C9-A844-890CF088A299}" name="Jarak Transaksi Terakhir sampai Hari Ini" dataDxfId="4">
      <calculatedColumnFormula>12*(YEAR(TODAY()) - YEAR(D2))+ (MONTH(TODAY()) - MONTH(D2))</calculatedColumnFormula>
    </tableColumn>
    <tableColumn id="8" xr3:uid="{E3F1DE33-B88D-4BDE-A1A1-DC786F5B1AFF}" name="Rata-Rata Jumlah Transaksi per Bulan" dataDxfId="3">
      <calculatedColumnFormula>IF((12 * (YEAR(D2) - YEAR(C2)) + (MONTH(D2) - MONTH(C2))) = 0, B2, B2 / (12 * (YEAR(D2) - YEAR(C2)) + (MONTH(D2) - MONTH(C2))))</calculatedColumnFormula>
    </tableColumn>
    <tableColumn id="9" xr3:uid="{3BCB020F-DA32-481C-AF6A-162081BD8373}" name="Status" dataDxfId="2">
      <calculatedColumnFormula array="1">IFERROR(_xlfn.IFS(B2/(MAX(1, 12*(YEAR(D2)-YEAR(C2)) + (MONTH(D2)-MONTH(C2)))) &gt;= 2, "Loyal",D2 &gt;= EDATE(TODAY(), -3), "Aktif",TRUE, "Pasif"),"Pasif")</calculatedColumnFormula>
    </tableColumn>
    <tableColumn id="10" xr3:uid="{1B461501-E397-4F29-BBD2-AA41B138BEFE}" name="Jumlah dari Nominal" dataDxfId="1"/>
    <tableColumn id="11" xr3:uid="{73F6882A-9D62-401A-AAED-395539777E58}" name="Kelompok" dataDxfId="0">
      <calculatedColumnFormula array="1">_xlfn.IFS(H2&lt;5000000, "Bronze",H2&lt;10000000, "Silver",H2&lt;20000000, "Gold", H2&gt;=20000000, "Diamond")</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anggal_Awal" xr10:uid="{C127AE99-5CC8-417C-A752-961FA3A5FDDA}" sourceName="Tanggal Awal">
  <pivotTables>
    <pivotTable tabId="20" name="PivotTable1"/>
    <pivotTable tabId="21" name="PivotTable2"/>
  </pivotTables>
  <state minimalRefreshVersion="6" lastRefreshVersion="6" pivotCacheId="1176991351"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anggal_Akhir" xr10:uid="{F3405782-A554-4287-BEAE-7B5EBC6FA4F4}" sourceName="Tanggal Akhir">
  <pivotTables>
    <pivotTable tabId="20" name="PivotTable1"/>
    <pivotTable tabId="21" name="PivotTable2"/>
  </pivotTables>
  <state minimalRefreshVersion="6" lastRefreshVersion="6" pivotCacheId="1176991351"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anggal Awal" xr10:uid="{433BA52D-5636-4250-8CBD-908DF089C256}" cache="NativeTimeline_Tanggal_Awal" caption="Tanggal Awal" level="2" selectionLevel="2" scrollPosition="2025-05-18T00:00:00"/>
  <timeline name="Tanggal Akhir" xr10:uid="{7A6BC956-F0E9-4D16-8793-D6CD222883BC}" cache="NativeTimeline_Tanggal_Akhir" caption="Tanggal Akhir" level="2" selectionLevel="2" scrollPosition="2025-05-18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1"/>
  <sheetViews>
    <sheetView workbookViewId="0">
      <selection activeCell="G3" sqref="G3"/>
    </sheetView>
  </sheetViews>
  <sheetFormatPr defaultColWidth="8.77734375" defaultRowHeight="14.4" x14ac:dyDescent="0.3"/>
  <cols>
    <col min="1" max="1" width="25" bestFit="1" customWidth="1"/>
    <col min="2" max="2" width="27.109375" bestFit="1" customWidth="1"/>
    <col min="3" max="3" width="13.109375" bestFit="1" customWidth="1"/>
    <col min="4" max="4" width="18.77734375" bestFit="1" customWidth="1"/>
    <col min="5" max="5" width="16.44140625" style="3" bestFit="1" customWidth="1"/>
    <col min="6" max="6" width="29" bestFit="1" customWidth="1"/>
    <col min="7" max="7" width="29.88671875" bestFit="1" customWidth="1"/>
    <col min="8" max="8" width="30.44140625" bestFit="1" customWidth="1"/>
    <col min="9" max="9" width="49.5546875" bestFit="1" customWidth="1"/>
    <col min="10" max="10" width="35.6640625" bestFit="1" customWidth="1"/>
  </cols>
  <sheetData>
    <row r="1" spans="1:8" x14ac:dyDescent="0.3">
      <c r="A1" s="10" t="s">
        <v>0</v>
      </c>
      <c r="B1" s="1" t="s">
        <v>1</v>
      </c>
      <c r="C1" s="1" t="s">
        <v>2</v>
      </c>
      <c r="D1" s="13" t="s">
        <v>3</v>
      </c>
      <c r="E1" s="2" t="s">
        <v>4</v>
      </c>
      <c r="F1" s="5" t="s">
        <v>309</v>
      </c>
      <c r="G1" s="5" t="s">
        <v>308</v>
      </c>
    </row>
    <row r="2" spans="1:8" x14ac:dyDescent="0.3">
      <c r="A2" s="14" t="s">
        <v>14</v>
      </c>
      <c r="B2" s="4" t="s">
        <v>114</v>
      </c>
      <c r="C2" s="4" t="s">
        <v>214</v>
      </c>
      <c r="D2" s="9">
        <v>45660</v>
      </c>
      <c r="E2" s="12">
        <v>150000</v>
      </c>
      <c r="F2" t="str" cm="1">
        <f t="array" ref="F2">_xlfn.IFS(G2&lt;5000000, "Bronze", G2&lt;10000000, "Silver", G2&lt;20000000, "Gold", G2&gt;=20000000, "Diamond")</f>
        <v>Diamond</v>
      </c>
      <c r="G2" s="11">
        <f>SUMIF(Data_Donasi[Nama_Donatur],Data_Donasi[[#This Row],[Nama_Donatur]],Data_Donasi[Nominal])</f>
        <v>73750000</v>
      </c>
    </row>
    <row r="3" spans="1:8" x14ac:dyDescent="0.3">
      <c r="A3" s="14" t="s">
        <v>13</v>
      </c>
      <c r="B3" s="4" t="s">
        <v>113</v>
      </c>
      <c r="C3" s="4" t="s">
        <v>213</v>
      </c>
      <c r="D3" s="9">
        <v>45660</v>
      </c>
      <c r="E3" s="12">
        <v>1000000</v>
      </c>
      <c r="F3" t="str" cm="1">
        <f t="array" ref="F3">_xlfn.IFS(G3&lt;5000000, "Bronze", G3&lt;10000000, "Silver", G3&lt;20000000, "Gold", G3&gt;=20000000, "Diamond")</f>
        <v>Diamond</v>
      </c>
      <c r="G3" s="11">
        <f>SUMIF(Data_Donasi[Nama_Donatur],Data_Donasi[[#This Row],[Nama_Donatur]],Data_Donasi[Nominal])</f>
        <v>46550000</v>
      </c>
      <c r="H3" s="6"/>
    </row>
    <row r="4" spans="1:8" x14ac:dyDescent="0.3">
      <c r="A4" s="14" t="s">
        <v>34</v>
      </c>
      <c r="B4" s="4" t="s">
        <v>134</v>
      </c>
      <c r="C4" s="4" t="s">
        <v>234</v>
      </c>
      <c r="D4" s="9">
        <v>45660</v>
      </c>
      <c r="E4" s="12">
        <v>250000</v>
      </c>
      <c r="F4" t="str" cm="1">
        <f t="array" ref="F4">_xlfn.IFS(G4&lt;5000000, "Bronze", G4&lt;10000000, "Silver", G4&lt;20000000, "Gold", G4&gt;=20000000, "Diamond")</f>
        <v>Gold</v>
      </c>
      <c r="G4" s="11">
        <f>SUMIF(Data_Donasi[Nama_Donatur],Data_Donasi[[#This Row],[Nama_Donatur]],Data_Donasi[Nominal])</f>
        <v>18400000</v>
      </c>
    </row>
    <row r="5" spans="1:8" x14ac:dyDescent="0.3">
      <c r="A5" s="14" t="s">
        <v>54</v>
      </c>
      <c r="B5" s="4" t="s">
        <v>154</v>
      </c>
      <c r="C5" s="4" t="s">
        <v>254</v>
      </c>
      <c r="D5" s="9">
        <v>45660</v>
      </c>
      <c r="E5" s="12">
        <v>100000</v>
      </c>
      <c r="F5" t="str" cm="1">
        <f t="array" ref="F5">_xlfn.IFS(G5&lt;5000000, "Bronze", G5&lt;10000000, "Silver", G5&lt;20000000, "Gold", G5&gt;=20000000, "Diamond")</f>
        <v>Silver</v>
      </c>
      <c r="G5" s="11">
        <f>SUMIF(Data_Donasi[Nama_Donatur],Data_Donasi[[#This Row],[Nama_Donatur]],Data_Donasi[Nominal])</f>
        <v>7500000</v>
      </c>
    </row>
    <row r="6" spans="1:8" x14ac:dyDescent="0.3">
      <c r="A6" s="14" t="s">
        <v>51</v>
      </c>
      <c r="B6" s="4" t="s">
        <v>151</v>
      </c>
      <c r="C6" s="4" t="s">
        <v>251</v>
      </c>
      <c r="D6" s="9">
        <v>45660</v>
      </c>
      <c r="E6" s="12">
        <v>7000000</v>
      </c>
      <c r="F6" t="str" cm="1">
        <f t="array" ref="F6">_xlfn.IFS(G6&lt;5000000, "Bronze", G6&lt;10000000, "Silver", G6&lt;20000000, "Gold", G6&gt;=20000000, "Diamond")</f>
        <v>Diamond</v>
      </c>
      <c r="G6" s="11">
        <f>SUMIF(Data_Donasi[Nama_Donatur],Data_Donasi[[#This Row],[Nama_Donatur]],Data_Donasi[Nominal])</f>
        <v>46450000</v>
      </c>
    </row>
    <row r="7" spans="1:8" x14ac:dyDescent="0.3">
      <c r="A7" s="14" t="s">
        <v>8</v>
      </c>
      <c r="B7" s="4" t="s">
        <v>108</v>
      </c>
      <c r="C7" s="4" t="s">
        <v>208</v>
      </c>
      <c r="D7" s="9">
        <v>45660</v>
      </c>
      <c r="E7" s="12">
        <v>100000</v>
      </c>
      <c r="F7" t="str" cm="1">
        <f t="array" ref="F7">_xlfn.IFS(G7&lt;5000000, "Bronze", G7&lt;10000000, "Silver", G7&lt;20000000, "Gold", G7&gt;=20000000, "Diamond")</f>
        <v>Diamond</v>
      </c>
      <c r="G7" s="11">
        <f>SUMIF(Data_Donasi[Nama_Donatur],Data_Donasi[[#This Row],[Nama_Donatur]],Data_Donasi[Nominal])</f>
        <v>31750000</v>
      </c>
    </row>
    <row r="8" spans="1:8" x14ac:dyDescent="0.3">
      <c r="A8" s="14" t="s">
        <v>36</v>
      </c>
      <c r="B8" s="4" t="s">
        <v>136</v>
      </c>
      <c r="C8" s="4" t="s">
        <v>236</v>
      </c>
      <c r="D8" s="9">
        <v>45661</v>
      </c>
      <c r="E8" s="12">
        <v>50000</v>
      </c>
      <c r="F8" t="str" cm="1">
        <f t="array" ref="F8">_xlfn.IFS(G8&lt;5000000, "Bronze", G8&lt;10000000, "Silver", G8&lt;20000000, "Gold", G8&gt;=20000000, "Diamond")</f>
        <v>Diamond</v>
      </c>
      <c r="G8" s="11">
        <f>SUMIF(Data_Donasi[Nama_Donatur],Data_Donasi[[#This Row],[Nama_Donatur]],Data_Donasi[Nominal])</f>
        <v>25500000</v>
      </c>
    </row>
    <row r="9" spans="1:8" x14ac:dyDescent="0.3">
      <c r="A9" s="14" t="s">
        <v>69</v>
      </c>
      <c r="B9" s="4" t="s">
        <v>169</v>
      </c>
      <c r="C9" s="4" t="s">
        <v>269</v>
      </c>
      <c r="D9" s="9">
        <v>45661</v>
      </c>
      <c r="E9" s="12">
        <v>5000000</v>
      </c>
      <c r="F9" t="str" cm="1">
        <f t="array" ref="F9">_xlfn.IFS(G9&lt;5000000, "Bronze", G9&lt;10000000, "Silver", G9&lt;20000000, "Gold", G9&gt;=20000000, "Diamond")</f>
        <v>Diamond</v>
      </c>
      <c r="G9" s="11">
        <f>SUMIF(Data_Donasi[Nama_Donatur],Data_Donasi[[#This Row],[Nama_Donatur]],Data_Donasi[Nominal])</f>
        <v>53350000</v>
      </c>
    </row>
    <row r="10" spans="1:8" x14ac:dyDescent="0.3">
      <c r="A10" s="14" t="s">
        <v>45</v>
      </c>
      <c r="B10" s="4" t="s">
        <v>145</v>
      </c>
      <c r="C10" s="4" t="s">
        <v>245</v>
      </c>
      <c r="D10" s="9">
        <v>45661</v>
      </c>
      <c r="E10" s="12">
        <v>50000</v>
      </c>
      <c r="F10" t="str" cm="1">
        <f t="array" ref="F10">_xlfn.IFS(G10&lt;5000000, "Bronze", G10&lt;10000000, "Silver", G10&lt;20000000, "Gold", G10&gt;=20000000, "Diamond")</f>
        <v>Diamond</v>
      </c>
      <c r="G10" s="11">
        <f>SUMIF(Data_Donasi[Nama_Donatur],Data_Donasi[[#This Row],[Nama_Donatur]],Data_Donasi[Nominal])</f>
        <v>42850000</v>
      </c>
    </row>
    <row r="11" spans="1:8" x14ac:dyDescent="0.3">
      <c r="A11" s="14" t="s">
        <v>34</v>
      </c>
      <c r="B11" s="4" t="s">
        <v>134</v>
      </c>
      <c r="C11" s="4" t="s">
        <v>234</v>
      </c>
      <c r="D11" s="9">
        <v>45661</v>
      </c>
      <c r="E11" s="12">
        <v>100000</v>
      </c>
      <c r="F11" t="str" cm="1">
        <f t="array" ref="F11">_xlfn.IFS(G11&lt;5000000, "Bronze", G11&lt;10000000, "Silver", G11&lt;20000000, "Gold", G11&gt;=20000000, "Diamond")</f>
        <v>Gold</v>
      </c>
      <c r="G11" s="11">
        <f>SUMIF(Data_Donasi[Nama_Donatur],Data_Donasi[[#This Row],[Nama_Donatur]],Data_Donasi[Nominal])</f>
        <v>18400000</v>
      </c>
    </row>
    <row r="12" spans="1:8" x14ac:dyDescent="0.3">
      <c r="A12" s="14" t="s">
        <v>52</v>
      </c>
      <c r="B12" s="4" t="s">
        <v>152</v>
      </c>
      <c r="C12" s="4" t="s">
        <v>252</v>
      </c>
      <c r="D12" s="9">
        <v>45662</v>
      </c>
      <c r="E12" s="12">
        <v>1000000</v>
      </c>
      <c r="F12" t="str" cm="1">
        <f t="array" ref="F12">_xlfn.IFS(G12&lt;5000000, "Bronze", G12&lt;10000000, "Silver", G12&lt;20000000, "Gold", G12&gt;=20000000, "Diamond")</f>
        <v>Gold</v>
      </c>
      <c r="G12" s="11">
        <f>SUMIF(Data_Donasi[Nama_Donatur],Data_Donasi[[#This Row],[Nama_Donatur]],Data_Donasi[Nominal])</f>
        <v>14000000</v>
      </c>
    </row>
    <row r="13" spans="1:8" x14ac:dyDescent="0.3">
      <c r="A13" s="14" t="s">
        <v>76</v>
      </c>
      <c r="B13" s="4" t="s">
        <v>176</v>
      </c>
      <c r="C13" s="4" t="s">
        <v>276</v>
      </c>
      <c r="D13" s="9">
        <v>45662</v>
      </c>
      <c r="E13" s="12">
        <v>250000</v>
      </c>
      <c r="F13" t="str" cm="1">
        <f t="array" ref="F13">_xlfn.IFS(G13&lt;5000000, "Bronze", G13&lt;10000000, "Silver", G13&lt;20000000, "Gold", G13&gt;=20000000, "Diamond")</f>
        <v>Diamond</v>
      </c>
      <c r="G13" s="11">
        <f>SUMIF(Data_Donasi[Nama_Donatur],Data_Donasi[[#This Row],[Nama_Donatur]],Data_Donasi[Nominal])</f>
        <v>37400000</v>
      </c>
    </row>
    <row r="14" spans="1:8" x14ac:dyDescent="0.3">
      <c r="A14" s="14" t="s">
        <v>61</v>
      </c>
      <c r="B14" s="4" t="s">
        <v>161</v>
      </c>
      <c r="C14" s="4" t="s">
        <v>261</v>
      </c>
      <c r="D14" s="9">
        <v>45662</v>
      </c>
      <c r="E14" s="12">
        <v>3000000</v>
      </c>
      <c r="F14" t="str" cm="1">
        <f t="array" ref="F14">_xlfn.IFS(G14&lt;5000000, "Bronze", G14&lt;10000000, "Silver", G14&lt;20000000, "Gold", G14&gt;=20000000, "Diamond")</f>
        <v>Diamond</v>
      </c>
      <c r="G14" s="11">
        <f>SUMIF(Data_Donasi[Nama_Donatur],Data_Donasi[[#This Row],[Nama_Donatur]],Data_Donasi[Nominal])</f>
        <v>30650000</v>
      </c>
    </row>
    <row r="15" spans="1:8" x14ac:dyDescent="0.3">
      <c r="A15" s="14" t="s">
        <v>31</v>
      </c>
      <c r="B15" s="4" t="s">
        <v>131</v>
      </c>
      <c r="C15" s="4" t="s">
        <v>231</v>
      </c>
      <c r="D15" s="9">
        <v>45662</v>
      </c>
      <c r="E15" s="12">
        <v>200000</v>
      </c>
      <c r="F15" t="str" cm="1">
        <f t="array" ref="F15">_xlfn.IFS(G15&lt;5000000, "Bronze", G15&lt;10000000, "Silver", G15&lt;20000000, "Gold", G15&gt;=20000000, "Diamond")</f>
        <v>Diamond</v>
      </c>
      <c r="G15" s="11">
        <f>SUMIF(Data_Donasi[Nama_Donatur],Data_Donasi[[#This Row],[Nama_Donatur]],Data_Donasi[Nominal])</f>
        <v>73400000</v>
      </c>
    </row>
    <row r="16" spans="1:8" x14ac:dyDescent="0.3">
      <c r="A16" s="14" t="s">
        <v>41</v>
      </c>
      <c r="B16" s="4" t="s">
        <v>141</v>
      </c>
      <c r="C16" s="4" t="s">
        <v>241</v>
      </c>
      <c r="D16" s="9">
        <v>45662</v>
      </c>
      <c r="E16" s="12">
        <v>500000</v>
      </c>
      <c r="F16" t="str" cm="1">
        <f t="array" ref="F16">_xlfn.IFS(G16&lt;5000000, "Bronze", G16&lt;10000000, "Silver", G16&lt;20000000, "Gold", G16&gt;=20000000, "Diamond")</f>
        <v>Gold</v>
      </c>
      <c r="G16" s="11">
        <f>SUMIF(Data_Donasi[Nama_Donatur],Data_Donasi[[#This Row],[Nama_Donatur]],Data_Donasi[Nominal])</f>
        <v>10400000</v>
      </c>
    </row>
    <row r="17" spans="1:7" x14ac:dyDescent="0.3">
      <c r="A17" s="14" t="s">
        <v>35</v>
      </c>
      <c r="B17" s="4" t="s">
        <v>135</v>
      </c>
      <c r="C17" s="4" t="s">
        <v>235</v>
      </c>
      <c r="D17" s="9">
        <v>45664</v>
      </c>
      <c r="E17" s="12">
        <v>20000000</v>
      </c>
      <c r="F17" t="str" cm="1">
        <f t="array" ref="F17">_xlfn.IFS(G17&lt;5000000, "Bronze", G17&lt;10000000, "Silver", G17&lt;20000000, "Gold", G17&gt;=20000000, "Diamond")</f>
        <v>Diamond</v>
      </c>
      <c r="G17" s="11">
        <f>SUMIF(Data_Donasi[Nama_Donatur],Data_Donasi[[#This Row],[Nama_Donatur]],Data_Donasi[Nominal])</f>
        <v>97200000</v>
      </c>
    </row>
    <row r="18" spans="1:7" x14ac:dyDescent="0.3">
      <c r="A18" s="14" t="s">
        <v>6</v>
      </c>
      <c r="B18" s="4" t="s">
        <v>106</v>
      </c>
      <c r="C18" s="4" t="s">
        <v>206</v>
      </c>
      <c r="D18" s="9">
        <v>45664</v>
      </c>
      <c r="E18" s="12">
        <v>150000</v>
      </c>
      <c r="F18" t="str" cm="1">
        <f t="array" ref="F18">_xlfn.IFS(G18&lt;5000000, "Bronze", G18&lt;10000000, "Silver", G18&lt;20000000, "Gold", G18&gt;=20000000, "Diamond")</f>
        <v>Diamond</v>
      </c>
      <c r="G18" s="11">
        <f>SUMIF(Data_Donasi[Nama_Donatur],Data_Donasi[[#This Row],[Nama_Donatur]],Data_Donasi[Nominal])</f>
        <v>47600000</v>
      </c>
    </row>
    <row r="19" spans="1:7" x14ac:dyDescent="0.3">
      <c r="A19" s="14" t="s">
        <v>24</v>
      </c>
      <c r="B19" s="4" t="s">
        <v>124</v>
      </c>
      <c r="C19" s="4" t="s">
        <v>224</v>
      </c>
      <c r="D19" s="9">
        <v>45664</v>
      </c>
      <c r="E19" s="12">
        <v>500000</v>
      </c>
      <c r="F19" t="str" cm="1">
        <f t="array" ref="F19">_xlfn.IFS(G19&lt;5000000, "Bronze", G19&lt;10000000, "Silver", G19&lt;20000000, "Gold", G19&gt;=20000000, "Diamond")</f>
        <v>Diamond</v>
      </c>
      <c r="G19" s="11">
        <f>SUMIF(Data_Donasi[Nama_Donatur],Data_Donasi[[#This Row],[Nama_Donatur]],Data_Donasi[Nominal])</f>
        <v>37700000</v>
      </c>
    </row>
    <row r="20" spans="1:7" x14ac:dyDescent="0.3">
      <c r="A20" s="14" t="s">
        <v>19</v>
      </c>
      <c r="B20" s="4" t="s">
        <v>119</v>
      </c>
      <c r="C20" s="4" t="s">
        <v>219</v>
      </c>
      <c r="D20" s="9">
        <v>45665</v>
      </c>
      <c r="E20" s="12">
        <v>10000000</v>
      </c>
      <c r="F20" t="str" cm="1">
        <f t="array" ref="F20">_xlfn.IFS(G20&lt;5000000, "Bronze", G20&lt;10000000, "Silver", G20&lt;20000000, "Gold", G20&gt;=20000000, "Diamond")</f>
        <v>Diamond</v>
      </c>
      <c r="G20" s="11">
        <f>SUMIF(Data_Donasi[Nama_Donatur],Data_Donasi[[#This Row],[Nama_Donatur]],Data_Donasi[Nominal])</f>
        <v>63400000</v>
      </c>
    </row>
    <row r="21" spans="1:7" x14ac:dyDescent="0.3">
      <c r="A21" s="14" t="s">
        <v>16</v>
      </c>
      <c r="B21" s="4" t="s">
        <v>116</v>
      </c>
      <c r="C21" s="4" t="s">
        <v>216</v>
      </c>
      <c r="D21" s="9">
        <v>45665</v>
      </c>
      <c r="E21" s="12">
        <v>3000000</v>
      </c>
      <c r="F21" t="str" cm="1">
        <f t="array" ref="F21">_xlfn.IFS(G21&lt;5000000, "Bronze", G21&lt;10000000, "Silver", G21&lt;20000000, "Gold", G21&gt;=20000000, "Diamond")</f>
        <v>Diamond</v>
      </c>
      <c r="G21" s="11">
        <f>SUMIF(Data_Donasi[Nama_Donatur],Data_Donasi[[#This Row],[Nama_Donatur]],Data_Donasi[Nominal])</f>
        <v>48350000</v>
      </c>
    </row>
    <row r="22" spans="1:7" x14ac:dyDescent="0.3">
      <c r="A22" s="14" t="s">
        <v>5</v>
      </c>
      <c r="B22" s="4" t="s">
        <v>105</v>
      </c>
      <c r="C22" s="4" t="s">
        <v>205</v>
      </c>
      <c r="D22" s="9">
        <v>45665</v>
      </c>
      <c r="E22" s="12">
        <v>500000</v>
      </c>
      <c r="F22" t="str" cm="1">
        <f t="array" ref="F22">_xlfn.IFS(G22&lt;5000000, "Bronze", G22&lt;10000000, "Silver", G22&lt;20000000, "Gold", G22&gt;=20000000, "Diamond")</f>
        <v>Diamond</v>
      </c>
      <c r="G22" s="11">
        <f>SUMIF(Data_Donasi[Nama_Donatur],Data_Donasi[[#This Row],[Nama_Donatur]],Data_Donasi[Nominal])</f>
        <v>42050000</v>
      </c>
    </row>
    <row r="23" spans="1:7" x14ac:dyDescent="0.3">
      <c r="A23" s="14" t="s">
        <v>70</v>
      </c>
      <c r="B23" s="4" t="s">
        <v>170</v>
      </c>
      <c r="C23" s="4" t="s">
        <v>270</v>
      </c>
      <c r="D23" s="9">
        <v>45665</v>
      </c>
      <c r="E23" s="12">
        <v>20000000</v>
      </c>
      <c r="F23" t="str" cm="1">
        <f t="array" ref="F23">_xlfn.IFS(G23&lt;5000000, "Bronze", G23&lt;10000000, "Silver", G23&lt;20000000, "Gold", G23&gt;=20000000, "Diamond")</f>
        <v>Diamond</v>
      </c>
      <c r="G23" s="11">
        <f>SUMIF(Data_Donasi[Nama_Donatur],Data_Donasi[[#This Row],[Nama_Donatur]],Data_Donasi[Nominal])</f>
        <v>21600000</v>
      </c>
    </row>
    <row r="24" spans="1:7" x14ac:dyDescent="0.3">
      <c r="A24" s="14" t="s">
        <v>51</v>
      </c>
      <c r="B24" s="4" t="s">
        <v>151</v>
      </c>
      <c r="C24" s="4" t="s">
        <v>251</v>
      </c>
      <c r="D24" s="9">
        <v>45666</v>
      </c>
      <c r="E24" s="12">
        <v>1000000</v>
      </c>
      <c r="F24" t="str" cm="1">
        <f t="array" ref="F24">_xlfn.IFS(G24&lt;5000000, "Bronze", G24&lt;10000000, "Silver", G24&lt;20000000, "Gold", G24&gt;=20000000, "Diamond")</f>
        <v>Diamond</v>
      </c>
      <c r="G24" s="11">
        <f>SUMIF(Data_Donasi[Nama_Donatur],Data_Donasi[[#This Row],[Nama_Donatur]],Data_Donasi[Nominal])</f>
        <v>46450000</v>
      </c>
    </row>
    <row r="25" spans="1:7" x14ac:dyDescent="0.3">
      <c r="A25" s="14" t="s">
        <v>30</v>
      </c>
      <c r="B25" s="4" t="s">
        <v>130</v>
      </c>
      <c r="C25" s="4" t="s">
        <v>230</v>
      </c>
      <c r="D25" s="9">
        <v>45666</v>
      </c>
      <c r="E25" s="12">
        <v>2000000</v>
      </c>
      <c r="F25" t="str" cm="1">
        <f t="array" ref="F25">_xlfn.IFS(G25&lt;5000000, "Bronze", G25&lt;10000000, "Silver", G25&lt;20000000, "Gold", G25&gt;=20000000, "Diamond")</f>
        <v>Diamond</v>
      </c>
      <c r="G25" s="11">
        <f>SUMIF(Data_Donasi[Nama_Donatur],Data_Donasi[[#This Row],[Nama_Donatur]],Data_Donasi[Nominal])</f>
        <v>135600000</v>
      </c>
    </row>
    <row r="26" spans="1:7" x14ac:dyDescent="0.3">
      <c r="A26" s="14" t="s">
        <v>27</v>
      </c>
      <c r="B26" s="4" t="s">
        <v>127</v>
      </c>
      <c r="C26" s="4" t="s">
        <v>227</v>
      </c>
      <c r="D26" s="9">
        <v>45667</v>
      </c>
      <c r="E26" s="12">
        <v>200000</v>
      </c>
      <c r="F26" t="str" cm="1">
        <f t="array" ref="F26">_xlfn.IFS(G26&lt;5000000, "Bronze", G26&lt;10000000, "Silver", G26&lt;20000000, "Gold", G26&gt;=20000000, "Diamond")</f>
        <v>Diamond</v>
      </c>
      <c r="G26" s="11">
        <f>SUMIF(Data_Donasi[Nama_Donatur],Data_Donasi[[#This Row],[Nama_Donatur]],Data_Donasi[Nominal])</f>
        <v>29050000</v>
      </c>
    </row>
    <row r="27" spans="1:7" x14ac:dyDescent="0.3">
      <c r="A27" s="14" t="s">
        <v>23</v>
      </c>
      <c r="B27" s="4" t="s">
        <v>123</v>
      </c>
      <c r="C27" s="4" t="s">
        <v>223</v>
      </c>
      <c r="D27" s="9">
        <v>45667</v>
      </c>
      <c r="E27" s="12">
        <v>100000</v>
      </c>
      <c r="F27" t="str" cm="1">
        <f t="array" ref="F27">_xlfn.IFS(G27&lt;5000000, "Bronze", G27&lt;10000000, "Silver", G27&lt;20000000, "Gold", G27&gt;=20000000, "Diamond")</f>
        <v>Diamond</v>
      </c>
      <c r="G27" s="11">
        <f>SUMIF(Data_Donasi[Nama_Donatur],Data_Donasi[[#This Row],[Nama_Donatur]],Data_Donasi[Nominal])</f>
        <v>55250000</v>
      </c>
    </row>
    <row r="28" spans="1:7" x14ac:dyDescent="0.3">
      <c r="A28" s="14" t="s">
        <v>46</v>
      </c>
      <c r="B28" s="4" t="s">
        <v>146</v>
      </c>
      <c r="C28" s="4" t="s">
        <v>246</v>
      </c>
      <c r="D28" s="9">
        <v>45667</v>
      </c>
      <c r="E28" s="12">
        <v>150000</v>
      </c>
      <c r="F28" t="str" cm="1">
        <f t="array" ref="F28">_xlfn.IFS(G28&lt;5000000, "Bronze", G28&lt;10000000, "Silver", G28&lt;20000000, "Gold", G28&gt;=20000000, "Diamond")</f>
        <v>Diamond</v>
      </c>
      <c r="G28" s="11">
        <f>SUMIF(Data_Donasi[Nama_Donatur],Data_Donasi[[#This Row],[Nama_Donatur]],Data_Donasi[Nominal])</f>
        <v>48550000</v>
      </c>
    </row>
    <row r="29" spans="1:7" x14ac:dyDescent="0.3">
      <c r="A29" s="14" t="s">
        <v>16</v>
      </c>
      <c r="B29" s="4" t="s">
        <v>116</v>
      </c>
      <c r="C29" s="4" t="s">
        <v>216</v>
      </c>
      <c r="D29" s="9">
        <v>45668</v>
      </c>
      <c r="E29" s="12">
        <v>5000000</v>
      </c>
      <c r="F29" t="str" cm="1">
        <f t="array" ref="F29">_xlfn.IFS(G29&lt;5000000, "Bronze", G29&lt;10000000, "Silver", G29&lt;20000000, "Gold", G29&gt;=20000000, "Diamond")</f>
        <v>Diamond</v>
      </c>
      <c r="G29" s="11">
        <f>SUMIF(Data_Donasi[Nama_Donatur],Data_Donasi[[#This Row],[Nama_Donatur]],Data_Donasi[Nominal])</f>
        <v>48350000</v>
      </c>
    </row>
    <row r="30" spans="1:7" x14ac:dyDescent="0.3">
      <c r="A30" s="14" t="s">
        <v>36</v>
      </c>
      <c r="B30" s="4" t="s">
        <v>136</v>
      </c>
      <c r="C30" s="4" t="s">
        <v>236</v>
      </c>
      <c r="D30" s="9">
        <v>45668</v>
      </c>
      <c r="E30" s="12">
        <v>150000</v>
      </c>
      <c r="F30" t="str" cm="1">
        <f t="array" ref="F30">_xlfn.IFS(G30&lt;5000000, "Bronze", G30&lt;10000000, "Silver", G30&lt;20000000, "Gold", G30&gt;=20000000, "Diamond")</f>
        <v>Diamond</v>
      </c>
      <c r="G30" s="11">
        <f>SUMIF(Data_Donasi[Nama_Donatur],Data_Donasi[[#This Row],[Nama_Donatur]],Data_Donasi[Nominal])</f>
        <v>25500000</v>
      </c>
    </row>
    <row r="31" spans="1:7" x14ac:dyDescent="0.3">
      <c r="A31" s="14" t="s">
        <v>51</v>
      </c>
      <c r="B31" s="4" t="s">
        <v>151</v>
      </c>
      <c r="C31" s="4" t="s">
        <v>251</v>
      </c>
      <c r="D31" s="9">
        <v>45668</v>
      </c>
      <c r="E31" s="12">
        <v>200000</v>
      </c>
      <c r="F31" t="str" cm="1">
        <f t="array" ref="F31">_xlfn.IFS(G31&lt;5000000, "Bronze", G31&lt;10000000, "Silver", G31&lt;20000000, "Gold", G31&gt;=20000000, "Diamond")</f>
        <v>Diamond</v>
      </c>
      <c r="G31" s="11">
        <f>SUMIF(Data_Donasi[Nama_Donatur],Data_Donasi[[#This Row],[Nama_Donatur]],Data_Donasi[Nominal])</f>
        <v>46450000</v>
      </c>
    </row>
    <row r="32" spans="1:7" x14ac:dyDescent="0.3">
      <c r="A32" s="14" t="s">
        <v>76</v>
      </c>
      <c r="B32" s="4" t="s">
        <v>176</v>
      </c>
      <c r="C32" s="4" t="s">
        <v>276</v>
      </c>
      <c r="D32" s="9">
        <v>45668</v>
      </c>
      <c r="E32" s="12">
        <v>10000000</v>
      </c>
      <c r="F32" t="str" cm="1">
        <f t="array" ref="F32">_xlfn.IFS(G32&lt;5000000, "Bronze", G32&lt;10000000, "Silver", G32&lt;20000000, "Gold", G32&gt;=20000000, "Diamond")</f>
        <v>Diamond</v>
      </c>
      <c r="G32" s="11">
        <f>SUMIF(Data_Donasi[Nama_Donatur],Data_Donasi[[#This Row],[Nama_Donatur]],Data_Donasi[Nominal])</f>
        <v>37400000</v>
      </c>
    </row>
    <row r="33" spans="1:7" x14ac:dyDescent="0.3">
      <c r="A33" s="14" t="s">
        <v>72</v>
      </c>
      <c r="B33" s="4" t="s">
        <v>172</v>
      </c>
      <c r="C33" s="4" t="s">
        <v>272</v>
      </c>
      <c r="D33" s="9">
        <v>45668</v>
      </c>
      <c r="E33" s="12">
        <v>100000</v>
      </c>
      <c r="F33" t="str" cm="1">
        <f t="array" ref="F33">_xlfn.IFS(G33&lt;5000000, "Bronze", G33&lt;10000000, "Silver", G33&lt;20000000, "Gold", G33&gt;=20000000, "Diamond")</f>
        <v>Diamond</v>
      </c>
      <c r="G33" s="11">
        <f>SUMIF(Data_Donasi[Nama_Donatur],Data_Donasi[[#This Row],[Nama_Donatur]],Data_Donasi[Nominal])</f>
        <v>53250000</v>
      </c>
    </row>
    <row r="34" spans="1:7" x14ac:dyDescent="0.3">
      <c r="A34" s="14" t="s">
        <v>39</v>
      </c>
      <c r="B34" s="4" t="s">
        <v>139</v>
      </c>
      <c r="C34" s="4" t="s">
        <v>239</v>
      </c>
      <c r="D34" s="9">
        <v>45668</v>
      </c>
      <c r="E34" s="12">
        <v>50000</v>
      </c>
      <c r="F34" t="str" cm="1">
        <f t="array" ref="F34">_xlfn.IFS(G34&lt;5000000, "Bronze", G34&lt;10000000, "Silver", G34&lt;20000000, "Gold", G34&gt;=20000000, "Diamond")</f>
        <v>Diamond</v>
      </c>
      <c r="G34" s="11">
        <f>SUMIF(Data_Donasi[Nama_Donatur],Data_Donasi[[#This Row],[Nama_Donatur]],Data_Donasi[Nominal])</f>
        <v>50750000</v>
      </c>
    </row>
    <row r="35" spans="1:7" x14ac:dyDescent="0.3">
      <c r="A35" s="14" t="s">
        <v>56</v>
      </c>
      <c r="B35" s="4" t="s">
        <v>156</v>
      </c>
      <c r="C35" s="4" t="s">
        <v>256</v>
      </c>
      <c r="D35" s="9">
        <v>45668</v>
      </c>
      <c r="E35" s="12">
        <v>500000</v>
      </c>
      <c r="F35" t="str" cm="1">
        <f t="array" ref="F35">_xlfn.IFS(G35&lt;5000000, "Bronze", G35&lt;10000000, "Silver", G35&lt;20000000, "Gold", G35&gt;=20000000, "Diamond")</f>
        <v>Diamond</v>
      </c>
      <c r="G35" s="11">
        <f>SUMIF(Data_Donasi[Nama_Donatur],Data_Donasi[[#This Row],[Nama_Donatur]],Data_Donasi[Nominal])</f>
        <v>49000000</v>
      </c>
    </row>
    <row r="36" spans="1:7" x14ac:dyDescent="0.3">
      <c r="A36" s="14" t="s">
        <v>17</v>
      </c>
      <c r="B36" s="4" t="s">
        <v>117</v>
      </c>
      <c r="C36" s="4" t="s">
        <v>217</v>
      </c>
      <c r="D36" s="9">
        <v>45668</v>
      </c>
      <c r="E36" s="12">
        <v>50000</v>
      </c>
      <c r="F36" t="str" cm="1">
        <f t="array" ref="F36">_xlfn.IFS(G36&lt;5000000, "Bronze", G36&lt;10000000, "Silver", G36&lt;20000000, "Gold", G36&gt;=20000000, "Diamond")</f>
        <v>Diamond</v>
      </c>
      <c r="G36" s="11">
        <f>SUMIF(Data_Donasi[Nama_Donatur],Data_Donasi[[#This Row],[Nama_Donatur]],Data_Donasi[Nominal])</f>
        <v>86000000</v>
      </c>
    </row>
    <row r="37" spans="1:7" x14ac:dyDescent="0.3">
      <c r="A37" s="14" t="s">
        <v>35</v>
      </c>
      <c r="B37" s="4" t="s">
        <v>135</v>
      </c>
      <c r="C37" s="4" t="s">
        <v>235</v>
      </c>
      <c r="D37" s="9">
        <v>45668</v>
      </c>
      <c r="E37" s="12">
        <v>2000000</v>
      </c>
      <c r="F37" t="str" cm="1">
        <f t="array" ref="F37">_xlfn.IFS(G37&lt;5000000, "Bronze", G37&lt;10000000, "Silver", G37&lt;20000000, "Gold", G37&gt;=20000000, "Diamond")</f>
        <v>Diamond</v>
      </c>
      <c r="G37" s="11">
        <f>SUMIF(Data_Donasi[Nama_Donatur],Data_Donasi[[#This Row],[Nama_Donatur]],Data_Donasi[Nominal])</f>
        <v>97200000</v>
      </c>
    </row>
    <row r="38" spans="1:7" x14ac:dyDescent="0.3">
      <c r="A38" s="14" t="s">
        <v>37</v>
      </c>
      <c r="B38" s="4" t="s">
        <v>137</v>
      </c>
      <c r="C38" s="4" t="s">
        <v>237</v>
      </c>
      <c r="D38" s="9">
        <v>45669</v>
      </c>
      <c r="E38" s="12">
        <v>5000000</v>
      </c>
      <c r="F38" t="str" cm="1">
        <f t="array" ref="F38">_xlfn.IFS(G38&lt;5000000, "Bronze", G38&lt;10000000, "Silver", G38&lt;20000000, "Gold", G38&gt;=20000000, "Diamond")</f>
        <v>Diamond</v>
      </c>
      <c r="G38" s="11">
        <f>SUMIF(Data_Donasi[Nama_Donatur],Data_Donasi[[#This Row],[Nama_Donatur]],Data_Donasi[Nominal])</f>
        <v>26200000</v>
      </c>
    </row>
    <row r="39" spans="1:7" x14ac:dyDescent="0.3">
      <c r="A39" s="14" t="s">
        <v>16</v>
      </c>
      <c r="B39" s="4" t="s">
        <v>116</v>
      </c>
      <c r="C39" s="4" t="s">
        <v>216</v>
      </c>
      <c r="D39" s="9">
        <v>45669</v>
      </c>
      <c r="E39" s="12">
        <v>1000000</v>
      </c>
      <c r="F39" t="str" cm="1">
        <f t="array" ref="F39">_xlfn.IFS(G39&lt;5000000, "Bronze", G39&lt;10000000, "Silver", G39&lt;20000000, "Gold", G39&gt;=20000000, "Diamond")</f>
        <v>Diamond</v>
      </c>
      <c r="G39" s="11">
        <f>SUMIF(Data_Donasi[Nama_Donatur],Data_Donasi[[#This Row],[Nama_Donatur]],Data_Donasi[Nominal])</f>
        <v>48350000</v>
      </c>
    </row>
    <row r="40" spans="1:7" x14ac:dyDescent="0.3">
      <c r="A40" s="14" t="s">
        <v>88</v>
      </c>
      <c r="B40" s="4" t="s">
        <v>188</v>
      </c>
      <c r="C40" s="4" t="s">
        <v>288</v>
      </c>
      <c r="D40" s="9">
        <v>45669</v>
      </c>
      <c r="E40" s="12">
        <v>200000</v>
      </c>
      <c r="F40" t="str" cm="1">
        <f t="array" ref="F40">_xlfn.IFS(G40&lt;5000000, "Bronze", G40&lt;10000000, "Silver", G40&lt;20000000, "Gold", G40&gt;=20000000, "Diamond")</f>
        <v>Diamond</v>
      </c>
      <c r="G40" s="11">
        <f>SUMIF(Data_Donasi[Nama_Donatur],Data_Donasi[[#This Row],[Nama_Donatur]],Data_Donasi[Nominal])</f>
        <v>51750000</v>
      </c>
    </row>
    <row r="41" spans="1:7" x14ac:dyDescent="0.3">
      <c r="A41" s="14" t="s">
        <v>61</v>
      </c>
      <c r="B41" s="4" t="s">
        <v>161</v>
      </c>
      <c r="C41" s="4" t="s">
        <v>261</v>
      </c>
      <c r="D41" s="9">
        <v>45669</v>
      </c>
      <c r="E41" s="12">
        <v>50000</v>
      </c>
      <c r="F41" t="str" cm="1">
        <f t="array" ref="F41">_xlfn.IFS(G41&lt;5000000, "Bronze", G41&lt;10000000, "Silver", G41&lt;20000000, "Gold", G41&gt;=20000000, "Diamond")</f>
        <v>Diamond</v>
      </c>
      <c r="G41" s="11">
        <f>SUMIF(Data_Donasi[Nama_Donatur],Data_Donasi[[#This Row],[Nama_Donatur]],Data_Donasi[Nominal])</f>
        <v>30650000</v>
      </c>
    </row>
    <row r="42" spans="1:7" x14ac:dyDescent="0.3">
      <c r="A42" s="14" t="s">
        <v>88</v>
      </c>
      <c r="B42" s="4" t="s">
        <v>188</v>
      </c>
      <c r="C42" s="4" t="s">
        <v>288</v>
      </c>
      <c r="D42" s="9">
        <v>45669</v>
      </c>
      <c r="E42" s="12">
        <v>150000</v>
      </c>
      <c r="F42" t="str" cm="1">
        <f t="array" ref="F42">_xlfn.IFS(G42&lt;5000000, "Bronze", G42&lt;10000000, "Silver", G42&lt;20000000, "Gold", G42&gt;=20000000, "Diamond")</f>
        <v>Diamond</v>
      </c>
      <c r="G42" s="11">
        <f>SUMIF(Data_Donasi[Nama_Donatur],Data_Donasi[[#This Row],[Nama_Donatur]],Data_Donasi[Nominal])</f>
        <v>51750000</v>
      </c>
    </row>
    <row r="43" spans="1:7" x14ac:dyDescent="0.3">
      <c r="A43" s="14" t="s">
        <v>72</v>
      </c>
      <c r="B43" s="4" t="s">
        <v>172</v>
      </c>
      <c r="C43" s="4" t="s">
        <v>272</v>
      </c>
      <c r="D43" s="9">
        <v>45670</v>
      </c>
      <c r="E43" s="12">
        <v>10000000</v>
      </c>
      <c r="F43" t="str" cm="1">
        <f t="array" ref="F43">_xlfn.IFS(G43&lt;5000000, "Bronze", G43&lt;10000000, "Silver", G43&lt;20000000, "Gold", G43&gt;=20000000, "Diamond")</f>
        <v>Diamond</v>
      </c>
      <c r="G43" s="11">
        <f>SUMIF(Data_Donasi[Nama_Donatur],Data_Donasi[[#This Row],[Nama_Donatur]],Data_Donasi[Nominal])</f>
        <v>53250000</v>
      </c>
    </row>
    <row r="44" spans="1:7" x14ac:dyDescent="0.3">
      <c r="A44" s="14" t="s">
        <v>40</v>
      </c>
      <c r="B44" s="4" t="s">
        <v>140</v>
      </c>
      <c r="C44" s="4" t="s">
        <v>240</v>
      </c>
      <c r="D44" s="9">
        <v>45670</v>
      </c>
      <c r="E44" s="12">
        <v>200000</v>
      </c>
      <c r="F44" t="str" cm="1">
        <f t="array" ref="F44">_xlfn.IFS(G44&lt;5000000, "Bronze", G44&lt;10000000, "Silver", G44&lt;20000000, "Gold", G44&gt;=20000000, "Diamond")</f>
        <v>Diamond</v>
      </c>
      <c r="G44" s="11">
        <f>SUMIF(Data_Donasi[Nama_Donatur],Data_Donasi[[#This Row],[Nama_Donatur]],Data_Donasi[Nominal])</f>
        <v>45950000</v>
      </c>
    </row>
    <row r="45" spans="1:7" x14ac:dyDescent="0.3">
      <c r="A45" s="14" t="s">
        <v>96</v>
      </c>
      <c r="B45" s="4" t="s">
        <v>196</v>
      </c>
      <c r="C45" s="4" t="s">
        <v>296</v>
      </c>
      <c r="D45" s="9">
        <v>45670</v>
      </c>
      <c r="E45" s="12">
        <v>2000000</v>
      </c>
      <c r="F45" t="str" cm="1">
        <f t="array" ref="F45">_xlfn.IFS(G45&lt;5000000, "Bronze", G45&lt;10000000, "Silver", G45&lt;20000000, "Gold", G45&gt;=20000000, "Diamond")</f>
        <v>Diamond</v>
      </c>
      <c r="G45" s="11">
        <f>SUMIF(Data_Donasi[Nama_Donatur],Data_Donasi[[#This Row],[Nama_Donatur]],Data_Donasi[Nominal])</f>
        <v>24200000</v>
      </c>
    </row>
    <row r="46" spans="1:7" x14ac:dyDescent="0.3">
      <c r="A46" s="14" t="s">
        <v>93</v>
      </c>
      <c r="B46" s="4" t="s">
        <v>193</v>
      </c>
      <c r="C46" s="4" t="s">
        <v>293</v>
      </c>
      <c r="D46" s="9">
        <v>45670</v>
      </c>
      <c r="E46" s="12">
        <v>1000000</v>
      </c>
      <c r="F46" t="str" cm="1">
        <f t="array" ref="F46">_xlfn.IFS(G46&lt;5000000, "Bronze", G46&lt;10000000, "Silver", G46&lt;20000000, "Gold", G46&gt;=20000000, "Diamond")</f>
        <v>Gold</v>
      </c>
      <c r="G46" s="11">
        <f>SUMIF(Data_Donasi[Nama_Donatur],Data_Donasi[[#This Row],[Nama_Donatur]],Data_Donasi[Nominal])</f>
        <v>19400000</v>
      </c>
    </row>
    <row r="47" spans="1:7" x14ac:dyDescent="0.3">
      <c r="A47" s="14" t="s">
        <v>19</v>
      </c>
      <c r="B47" s="4" t="s">
        <v>119</v>
      </c>
      <c r="C47" s="4" t="s">
        <v>219</v>
      </c>
      <c r="D47" s="9">
        <v>45671</v>
      </c>
      <c r="E47" s="12">
        <v>200000</v>
      </c>
      <c r="F47" t="str" cm="1">
        <f t="array" ref="F47">_xlfn.IFS(G47&lt;5000000, "Bronze", G47&lt;10000000, "Silver", G47&lt;20000000, "Gold", G47&gt;=20000000, "Diamond")</f>
        <v>Diamond</v>
      </c>
      <c r="G47" s="11">
        <f>SUMIF(Data_Donasi[Nama_Donatur],Data_Donasi[[#This Row],[Nama_Donatur]],Data_Donasi[Nominal])</f>
        <v>63400000</v>
      </c>
    </row>
    <row r="48" spans="1:7" x14ac:dyDescent="0.3">
      <c r="A48" s="14" t="s">
        <v>32</v>
      </c>
      <c r="B48" s="4" t="s">
        <v>132</v>
      </c>
      <c r="C48" s="4" t="s">
        <v>232</v>
      </c>
      <c r="D48" s="9">
        <v>45671</v>
      </c>
      <c r="E48" s="12">
        <v>50000</v>
      </c>
      <c r="F48" t="str" cm="1">
        <f t="array" ref="F48">_xlfn.IFS(G48&lt;5000000, "Bronze", G48&lt;10000000, "Silver", G48&lt;20000000, "Gold", G48&gt;=20000000, "Diamond")</f>
        <v>Diamond</v>
      </c>
      <c r="G48" s="11">
        <f>SUMIF(Data_Donasi[Nama_Donatur],Data_Donasi[[#This Row],[Nama_Donatur]],Data_Donasi[Nominal])</f>
        <v>23800000</v>
      </c>
    </row>
    <row r="49" spans="1:7" x14ac:dyDescent="0.3">
      <c r="A49" s="14" t="s">
        <v>30</v>
      </c>
      <c r="B49" s="4" t="s">
        <v>130</v>
      </c>
      <c r="C49" s="4" t="s">
        <v>230</v>
      </c>
      <c r="D49" s="9">
        <v>45671</v>
      </c>
      <c r="E49" s="12">
        <v>200000</v>
      </c>
      <c r="F49" t="str" cm="1">
        <f t="array" ref="F49">_xlfn.IFS(G49&lt;5000000, "Bronze", G49&lt;10000000, "Silver", G49&lt;20000000, "Gold", G49&gt;=20000000, "Diamond")</f>
        <v>Diamond</v>
      </c>
      <c r="G49" s="11">
        <f>SUMIF(Data_Donasi[Nama_Donatur],Data_Donasi[[#This Row],[Nama_Donatur]],Data_Donasi[Nominal])</f>
        <v>135600000</v>
      </c>
    </row>
    <row r="50" spans="1:7" x14ac:dyDescent="0.3">
      <c r="A50" s="14" t="s">
        <v>6</v>
      </c>
      <c r="B50" s="4" t="s">
        <v>106</v>
      </c>
      <c r="C50" s="4" t="s">
        <v>206</v>
      </c>
      <c r="D50" s="9">
        <v>45671</v>
      </c>
      <c r="E50" s="12">
        <v>50000</v>
      </c>
      <c r="F50" t="str" cm="1">
        <f t="array" ref="F50">_xlfn.IFS(G50&lt;5000000, "Bronze", G50&lt;10000000, "Silver", G50&lt;20000000, "Gold", G50&gt;=20000000, "Diamond")</f>
        <v>Diamond</v>
      </c>
      <c r="G50" s="11">
        <f>SUMIF(Data_Donasi[Nama_Donatur],Data_Donasi[[#This Row],[Nama_Donatur]],Data_Donasi[Nominal])</f>
        <v>47600000</v>
      </c>
    </row>
    <row r="51" spans="1:7" x14ac:dyDescent="0.3">
      <c r="A51" s="14" t="s">
        <v>92</v>
      </c>
      <c r="B51" s="4" t="s">
        <v>192</v>
      </c>
      <c r="C51" s="4" t="s">
        <v>292</v>
      </c>
      <c r="D51" s="9">
        <v>45671</v>
      </c>
      <c r="E51" s="12">
        <v>10000000</v>
      </c>
      <c r="F51" t="str" cm="1">
        <f t="array" ref="F51">_xlfn.IFS(G51&lt;5000000, "Bronze", G51&lt;10000000, "Silver", G51&lt;20000000, "Gold", G51&gt;=20000000, "Diamond")</f>
        <v>Diamond</v>
      </c>
      <c r="G51" s="11">
        <f>SUMIF(Data_Donasi[Nama_Donatur],Data_Donasi[[#This Row],[Nama_Donatur]],Data_Donasi[Nominal])</f>
        <v>55700000</v>
      </c>
    </row>
    <row r="52" spans="1:7" x14ac:dyDescent="0.3">
      <c r="A52" s="14" t="s">
        <v>36</v>
      </c>
      <c r="B52" s="4" t="s">
        <v>136</v>
      </c>
      <c r="C52" s="4" t="s">
        <v>236</v>
      </c>
      <c r="D52" s="9">
        <v>45671</v>
      </c>
      <c r="E52" s="12">
        <v>1000000</v>
      </c>
      <c r="F52" t="str" cm="1">
        <f t="array" ref="F52">_xlfn.IFS(G52&lt;5000000, "Bronze", G52&lt;10000000, "Silver", G52&lt;20000000, "Gold", G52&gt;=20000000, "Diamond")</f>
        <v>Diamond</v>
      </c>
      <c r="G52" s="11">
        <f>SUMIF(Data_Donasi[Nama_Donatur],Data_Donasi[[#This Row],[Nama_Donatur]],Data_Donasi[Nominal])</f>
        <v>25500000</v>
      </c>
    </row>
    <row r="53" spans="1:7" x14ac:dyDescent="0.3">
      <c r="A53" s="14" t="s">
        <v>59</v>
      </c>
      <c r="B53" s="4" t="s">
        <v>159</v>
      </c>
      <c r="C53" s="4" t="s">
        <v>259</v>
      </c>
      <c r="D53" s="9">
        <v>45672</v>
      </c>
      <c r="E53" s="12">
        <v>250000</v>
      </c>
      <c r="F53" t="str" cm="1">
        <f t="array" ref="F53">_xlfn.IFS(G53&lt;5000000, "Bronze", G53&lt;10000000, "Silver", G53&lt;20000000, "Gold", G53&gt;=20000000, "Diamond")</f>
        <v>Diamond</v>
      </c>
      <c r="G53" s="11">
        <f>SUMIF(Data_Donasi[Nama_Donatur],Data_Donasi[[#This Row],[Nama_Donatur]],Data_Donasi[Nominal])</f>
        <v>22850000</v>
      </c>
    </row>
    <row r="54" spans="1:7" x14ac:dyDescent="0.3">
      <c r="A54" s="14" t="s">
        <v>47</v>
      </c>
      <c r="B54" s="4" t="s">
        <v>147</v>
      </c>
      <c r="C54" s="4" t="s">
        <v>247</v>
      </c>
      <c r="D54" s="9">
        <v>45672</v>
      </c>
      <c r="E54" s="12">
        <v>250000</v>
      </c>
      <c r="F54" t="str" cm="1">
        <f t="array" ref="F54">_xlfn.IFS(G54&lt;5000000, "Bronze", G54&lt;10000000, "Silver", G54&lt;20000000, "Gold", G54&gt;=20000000, "Diamond")</f>
        <v>Diamond</v>
      </c>
      <c r="G54" s="11">
        <f>SUMIF(Data_Donasi[Nama_Donatur],Data_Donasi[[#This Row],[Nama_Donatur]],Data_Donasi[Nominal])</f>
        <v>45000000</v>
      </c>
    </row>
    <row r="55" spans="1:7" x14ac:dyDescent="0.3">
      <c r="A55" s="14" t="s">
        <v>46</v>
      </c>
      <c r="B55" s="4" t="s">
        <v>146</v>
      </c>
      <c r="C55" s="4" t="s">
        <v>246</v>
      </c>
      <c r="D55" s="9">
        <v>45672</v>
      </c>
      <c r="E55" s="12">
        <v>7000000</v>
      </c>
      <c r="F55" t="str" cm="1">
        <f t="array" ref="F55">_xlfn.IFS(G55&lt;5000000, "Bronze", G55&lt;10000000, "Silver", G55&lt;20000000, "Gold", G55&gt;=20000000, "Diamond")</f>
        <v>Diamond</v>
      </c>
      <c r="G55" s="11">
        <f>SUMIF(Data_Donasi[Nama_Donatur],Data_Donasi[[#This Row],[Nama_Donatur]],Data_Donasi[Nominal])</f>
        <v>48550000</v>
      </c>
    </row>
    <row r="56" spans="1:7" x14ac:dyDescent="0.3">
      <c r="A56" s="14" t="s">
        <v>38</v>
      </c>
      <c r="B56" s="4" t="s">
        <v>138</v>
      </c>
      <c r="C56" s="4" t="s">
        <v>238</v>
      </c>
      <c r="D56" s="9">
        <v>45672</v>
      </c>
      <c r="E56" s="12">
        <v>1000000</v>
      </c>
      <c r="F56" t="str" cm="1">
        <f t="array" ref="F56">_xlfn.IFS(G56&lt;5000000, "Bronze", G56&lt;10000000, "Silver", G56&lt;20000000, "Gold", G56&gt;=20000000, "Diamond")</f>
        <v>Diamond</v>
      </c>
      <c r="G56" s="11">
        <f>SUMIF(Data_Donasi[Nama_Donatur],Data_Donasi[[#This Row],[Nama_Donatur]],Data_Donasi[Nominal])</f>
        <v>35400000</v>
      </c>
    </row>
    <row r="57" spans="1:7" x14ac:dyDescent="0.3">
      <c r="A57" s="14" t="s">
        <v>33</v>
      </c>
      <c r="B57" s="4" t="s">
        <v>133</v>
      </c>
      <c r="C57" s="4" t="s">
        <v>233</v>
      </c>
      <c r="D57" s="9">
        <v>45673</v>
      </c>
      <c r="E57" s="12">
        <v>20000000</v>
      </c>
      <c r="F57" t="str" cm="1">
        <f t="array" ref="F57">_xlfn.IFS(G57&lt;5000000, "Bronze", G57&lt;10000000, "Silver", G57&lt;20000000, "Gold", G57&gt;=20000000, "Diamond")</f>
        <v>Diamond</v>
      </c>
      <c r="G57" s="11">
        <f>SUMIF(Data_Donasi[Nama_Donatur],Data_Donasi[[#This Row],[Nama_Donatur]],Data_Donasi[Nominal])</f>
        <v>56850000</v>
      </c>
    </row>
    <row r="58" spans="1:7" x14ac:dyDescent="0.3">
      <c r="A58" s="14" t="s">
        <v>70</v>
      </c>
      <c r="B58" s="4" t="s">
        <v>170</v>
      </c>
      <c r="C58" s="4" t="s">
        <v>270</v>
      </c>
      <c r="D58" s="9">
        <v>45673</v>
      </c>
      <c r="E58" s="12">
        <v>200000</v>
      </c>
      <c r="F58" t="str" cm="1">
        <f t="array" ref="F58">_xlfn.IFS(G58&lt;5000000, "Bronze", G58&lt;10000000, "Silver", G58&lt;20000000, "Gold", G58&gt;=20000000, "Diamond")</f>
        <v>Diamond</v>
      </c>
      <c r="G58" s="11">
        <f>SUMIF(Data_Donasi[Nama_Donatur],Data_Donasi[[#This Row],[Nama_Donatur]],Data_Donasi[Nominal])</f>
        <v>21600000</v>
      </c>
    </row>
    <row r="59" spans="1:7" x14ac:dyDescent="0.3">
      <c r="A59" s="14" t="s">
        <v>22</v>
      </c>
      <c r="B59" s="4" t="s">
        <v>122</v>
      </c>
      <c r="C59" s="4" t="s">
        <v>222</v>
      </c>
      <c r="D59" s="9">
        <v>45674</v>
      </c>
      <c r="E59" s="12">
        <v>20000000</v>
      </c>
      <c r="F59" t="str" cm="1">
        <f t="array" ref="F59">_xlfn.IFS(G59&lt;5000000, "Bronze", G59&lt;10000000, "Silver", G59&lt;20000000, "Gold", G59&gt;=20000000, "Diamond")</f>
        <v>Diamond</v>
      </c>
      <c r="G59" s="11">
        <f>SUMIF(Data_Donasi[Nama_Donatur],Data_Donasi[[#This Row],[Nama_Donatur]],Data_Donasi[Nominal])</f>
        <v>67900000</v>
      </c>
    </row>
    <row r="60" spans="1:7" x14ac:dyDescent="0.3">
      <c r="A60" s="14" t="s">
        <v>14</v>
      </c>
      <c r="B60" s="4" t="s">
        <v>114</v>
      </c>
      <c r="C60" s="4" t="s">
        <v>214</v>
      </c>
      <c r="D60" s="9">
        <v>45674</v>
      </c>
      <c r="E60" s="12">
        <v>200000</v>
      </c>
      <c r="F60" t="str" cm="1">
        <f t="array" ref="F60">_xlfn.IFS(G60&lt;5000000, "Bronze", G60&lt;10000000, "Silver", G60&lt;20000000, "Gold", G60&gt;=20000000, "Diamond")</f>
        <v>Diamond</v>
      </c>
      <c r="G60" s="11">
        <f>SUMIF(Data_Donasi[Nama_Donatur],Data_Donasi[[#This Row],[Nama_Donatur]],Data_Donasi[Nominal])</f>
        <v>73750000</v>
      </c>
    </row>
    <row r="61" spans="1:7" x14ac:dyDescent="0.3">
      <c r="A61" s="14" t="s">
        <v>61</v>
      </c>
      <c r="B61" s="4" t="s">
        <v>161</v>
      </c>
      <c r="C61" s="4" t="s">
        <v>261</v>
      </c>
      <c r="D61" s="9">
        <v>45674</v>
      </c>
      <c r="E61" s="12">
        <v>250000</v>
      </c>
      <c r="F61" t="str" cm="1">
        <f t="array" ref="F61">_xlfn.IFS(G61&lt;5000000, "Bronze", G61&lt;10000000, "Silver", G61&lt;20000000, "Gold", G61&gt;=20000000, "Diamond")</f>
        <v>Diamond</v>
      </c>
      <c r="G61" s="11">
        <f>SUMIF(Data_Donasi[Nama_Donatur],Data_Donasi[[#This Row],[Nama_Donatur]],Data_Donasi[Nominal])</f>
        <v>30650000</v>
      </c>
    </row>
    <row r="62" spans="1:7" x14ac:dyDescent="0.3">
      <c r="A62" s="14" t="s">
        <v>67</v>
      </c>
      <c r="B62" s="4" t="s">
        <v>167</v>
      </c>
      <c r="C62" s="4" t="s">
        <v>267</v>
      </c>
      <c r="D62" s="9">
        <v>45674</v>
      </c>
      <c r="E62" s="12">
        <v>10000000</v>
      </c>
      <c r="F62" t="str" cm="1">
        <f t="array" ref="F62">_xlfn.IFS(G62&lt;5000000, "Bronze", G62&lt;10000000, "Silver", G62&lt;20000000, "Gold", G62&gt;=20000000, "Diamond")</f>
        <v>Diamond</v>
      </c>
      <c r="G62" s="11">
        <f>SUMIF(Data_Donasi[Nama_Donatur],Data_Donasi[[#This Row],[Nama_Donatur]],Data_Donasi[Nominal])</f>
        <v>28450000</v>
      </c>
    </row>
    <row r="63" spans="1:7" x14ac:dyDescent="0.3">
      <c r="A63" s="14" t="s">
        <v>25</v>
      </c>
      <c r="B63" s="4" t="s">
        <v>125</v>
      </c>
      <c r="C63" s="4" t="s">
        <v>225</v>
      </c>
      <c r="D63" s="9">
        <v>45675</v>
      </c>
      <c r="E63" s="12">
        <v>500000</v>
      </c>
      <c r="F63" t="str" cm="1">
        <f t="array" ref="F63">_xlfn.IFS(G63&lt;5000000, "Bronze", G63&lt;10000000, "Silver", G63&lt;20000000, "Gold", G63&gt;=20000000, "Diamond")</f>
        <v>Diamond</v>
      </c>
      <c r="G63" s="11">
        <f>SUMIF(Data_Donasi[Nama_Donatur],Data_Donasi[[#This Row],[Nama_Donatur]],Data_Donasi[Nominal])</f>
        <v>41700000</v>
      </c>
    </row>
    <row r="64" spans="1:7" x14ac:dyDescent="0.3">
      <c r="A64" s="14" t="s">
        <v>68</v>
      </c>
      <c r="B64" s="4" t="s">
        <v>168</v>
      </c>
      <c r="C64" s="4" t="s">
        <v>268</v>
      </c>
      <c r="D64" s="9">
        <v>45675</v>
      </c>
      <c r="E64" s="12">
        <v>150000</v>
      </c>
      <c r="F64" t="str" cm="1">
        <f t="array" ref="F64">_xlfn.IFS(G64&lt;5000000, "Bronze", G64&lt;10000000, "Silver", G64&lt;20000000, "Gold", G64&gt;=20000000, "Diamond")</f>
        <v>Diamond</v>
      </c>
      <c r="G64" s="11">
        <f>SUMIF(Data_Donasi[Nama_Donatur],Data_Donasi[[#This Row],[Nama_Donatur]],Data_Donasi[Nominal])</f>
        <v>24500000</v>
      </c>
    </row>
    <row r="65" spans="1:7" x14ac:dyDescent="0.3">
      <c r="A65" s="14" t="s">
        <v>68</v>
      </c>
      <c r="B65" s="4" t="s">
        <v>168</v>
      </c>
      <c r="C65" s="4" t="s">
        <v>268</v>
      </c>
      <c r="D65" s="9">
        <v>45675</v>
      </c>
      <c r="E65" s="12">
        <v>250000</v>
      </c>
      <c r="F65" t="str" cm="1">
        <f t="array" ref="F65">_xlfn.IFS(G65&lt;5000000, "Bronze", G65&lt;10000000, "Silver", G65&lt;20000000, "Gold", G65&gt;=20000000, "Diamond")</f>
        <v>Diamond</v>
      </c>
      <c r="G65" s="11">
        <f>SUMIF(Data_Donasi[Nama_Donatur],Data_Donasi[[#This Row],[Nama_Donatur]],Data_Donasi[Nominal])</f>
        <v>24500000</v>
      </c>
    </row>
    <row r="66" spans="1:7" x14ac:dyDescent="0.3">
      <c r="A66" s="14" t="s">
        <v>31</v>
      </c>
      <c r="B66" s="4" t="s">
        <v>131</v>
      </c>
      <c r="C66" s="4" t="s">
        <v>231</v>
      </c>
      <c r="D66" s="9">
        <v>45676</v>
      </c>
      <c r="E66" s="12">
        <v>10000000</v>
      </c>
      <c r="F66" t="str" cm="1">
        <f t="array" ref="F66">_xlfn.IFS(G66&lt;5000000, "Bronze", G66&lt;10000000, "Silver", G66&lt;20000000, "Gold", G66&gt;=20000000, "Diamond")</f>
        <v>Diamond</v>
      </c>
      <c r="G66" s="11">
        <f>SUMIF(Data_Donasi[Nama_Donatur],Data_Donasi[[#This Row],[Nama_Donatur]],Data_Donasi[Nominal])</f>
        <v>73400000</v>
      </c>
    </row>
    <row r="67" spans="1:7" x14ac:dyDescent="0.3">
      <c r="A67" s="14" t="s">
        <v>78</v>
      </c>
      <c r="B67" s="4" t="s">
        <v>178</v>
      </c>
      <c r="C67" s="4" t="s">
        <v>278</v>
      </c>
      <c r="D67" s="9">
        <v>45676</v>
      </c>
      <c r="E67" s="12">
        <v>10000000</v>
      </c>
      <c r="F67" t="str" cm="1">
        <f t="array" ref="F67">_xlfn.IFS(G67&lt;5000000, "Bronze", G67&lt;10000000, "Silver", G67&lt;20000000, "Gold", G67&gt;=20000000, "Diamond")</f>
        <v>Diamond</v>
      </c>
      <c r="G67" s="11">
        <f>SUMIF(Data_Donasi[Nama_Donatur],Data_Donasi[[#This Row],[Nama_Donatur]],Data_Donasi[Nominal])</f>
        <v>115650000</v>
      </c>
    </row>
    <row r="68" spans="1:7" x14ac:dyDescent="0.3">
      <c r="A68" s="14" t="s">
        <v>82</v>
      </c>
      <c r="B68" s="4" t="s">
        <v>182</v>
      </c>
      <c r="C68" s="4" t="s">
        <v>282</v>
      </c>
      <c r="D68" s="9">
        <v>45676</v>
      </c>
      <c r="E68" s="12">
        <v>150000</v>
      </c>
      <c r="F68" t="str" cm="1">
        <f t="array" ref="F68">_xlfn.IFS(G68&lt;5000000, "Bronze", G68&lt;10000000, "Silver", G68&lt;20000000, "Gold", G68&gt;=20000000, "Diamond")</f>
        <v>Diamond</v>
      </c>
      <c r="G68" s="11">
        <f>SUMIF(Data_Donasi[Nama_Donatur],Data_Donasi[[#This Row],[Nama_Donatur]],Data_Donasi[Nominal])</f>
        <v>63700000</v>
      </c>
    </row>
    <row r="69" spans="1:7" x14ac:dyDescent="0.3">
      <c r="A69" s="14" t="s">
        <v>86</v>
      </c>
      <c r="B69" s="4" t="s">
        <v>186</v>
      </c>
      <c r="C69" s="4" t="s">
        <v>286</v>
      </c>
      <c r="D69" s="9">
        <v>45676</v>
      </c>
      <c r="E69" s="12">
        <v>20000000</v>
      </c>
      <c r="F69" t="str" cm="1">
        <f t="array" ref="F69">_xlfn.IFS(G69&lt;5000000, "Bronze", G69&lt;10000000, "Silver", G69&lt;20000000, "Gold", G69&gt;=20000000, "Diamond")</f>
        <v>Diamond</v>
      </c>
      <c r="G69" s="11">
        <f>SUMIF(Data_Donasi[Nama_Donatur],Data_Donasi[[#This Row],[Nama_Donatur]],Data_Donasi[Nominal])</f>
        <v>50500000</v>
      </c>
    </row>
    <row r="70" spans="1:7" x14ac:dyDescent="0.3">
      <c r="A70" s="14" t="s">
        <v>17</v>
      </c>
      <c r="B70" s="4" t="s">
        <v>117</v>
      </c>
      <c r="C70" s="4" t="s">
        <v>217</v>
      </c>
      <c r="D70" s="9">
        <v>45676</v>
      </c>
      <c r="E70" s="12">
        <v>20000000</v>
      </c>
      <c r="F70" t="str" cm="1">
        <f t="array" ref="F70">_xlfn.IFS(G70&lt;5000000, "Bronze", G70&lt;10000000, "Silver", G70&lt;20000000, "Gold", G70&gt;=20000000, "Diamond")</f>
        <v>Diamond</v>
      </c>
      <c r="G70" s="11">
        <f>SUMIF(Data_Donasi[Nama_Donatur],Data_Donasi[[#This Row],[Nama_Donatur]],Data_Donasi[Nominal])</f>
        <v>86000000</v>
      </c>
    </row>
    <row r="71" spans="1:7" x14ac:dyDescent="0.3">
      <c r="A71" s="14" t="s">
        <v>21</v>
      </c>
      <c r="B71" s="4" t="s">
        <v>121</v>
      </c>
      <c r="C71" s="4" t="s">
        <v>221</v>
      </c>
      <c r="D71" s="9">
        <v>45676</v>
      </c>
      <c r="E71" s="12">
        <v>3000000</v>
      </c>
      <c r="F71" t="str" cm="1">
        <f t="array" ref="F71">_xlfn.IFS(G71&lt;5000000, "Bronze", G71&lt;10000000, "Silver", G71&lt;20000000, "Gold", G71&gt;=20000000, "Diamond")</f>
        <v>Diamond</v>
      </c>
      <c r="G71" s="11">
        <f>SUMIF(Data_Donasi[Nama_Donatur],Data_Donasi[[#This Row],[Nama_Donatur]],Data_Donasi[Nominal])</f>
        <v>61950000</v>
      </c>
    </row>
    <row r="72" spans="1:7" x14ac:dyDescent="0.3">
      <c r="A72" s="14" t="s">
        <v>88</v>
      </c>
      <c r="B72" s="4" t="s">
        <v>188</v>
      </c>
      <c r="C72" s="4" t="s">
        <v>288</v>
      </c>
      <c r="D72" s="9">
        <v>45676</v>
      </c>
      <c r="E72" s="12">
        <v>2000000</v>
      </c>
      <c r="F72" t="str" cm="1">
        <f t="array" ref="F72">_xlfn.IFS(G72&lt;5000000, "Bronze", G72&lt;10000000, "Silver", G72&lt;20000000, "Gold", G72&gt;=20000000, "Diamond")</f>
        <v>Diamond</v>
      </c>
      <c r="G72" s="11">
        <f>SUMIF(Data_Donasi[Nama_Donatur],Data_Donasi[[#This Row],[Nama_Donatur]],Data_Donasi[Nominal])</f>
        <v>51750000</v>
      </c>
    </row>
    <row r="73" spans="1:7" x14ac:dyDescent="0.3">
      <c r="A73" s="14" t="s">
        <v>64</v>
      </c>
      <c r="B73" s="4" t="s">
        <v>164</v>
      </c>
      <c r="C73" s="4" t="s">
        <v>264</v>
      </c>
      <c r="D73" s="9">
        <v>45676</v>
      </c>
      <c r="E73" s="12">
        <v>50000</v>
      </c>
      <c r="F73" t="str" cm="1">
        <f t="array" ref="F73">_xlfn.IFS(G73&lt;5000000, "Bronze", G73&lt;10000000, "Silver", G73&lt;20000000, "Gold", G73&gt;=20000000, "Diamond")</f>
        <v>Diamond</v>
      </c>
      <c r="G73" s="11">
        <f>SUMIF(Data_Donasi[Nama_Donatur],Data_Donasi[[#This Row],[Nama_Donatur]],Data_Donasi[Nominal])</f>
        <v>27750000</v>
      </c>
    </row>
    <row r="74" spans="1:7" x14ac:dyDescent="0.3">
      <c r="A74" s="14" t="s">
        <v>40</v>
      </c>
      <c r="B74" s="4" t="s">
        <v>140</v>
      </c>
      <c r="C74" s="4" t="s">
        <v>240</v>
      </c>
      <c r="D74" s="9">
        <v>45677</v>
      </c>
      <c r="E74" s="12">
        <v>100000</v>
      </c>
      <c r="F74" t="str" cm="1">
        <f t="array" ref="F74">_xlfn.IFS(G74&lt;5000000, "Bronze", G74&lt;10000000, "Silver", G74&lt;20000000, "Gold", G74&gt;=20000000, "Diamond")</f>
        <v>Diamond</v>
      </c>
      <c r="G74" s="11">
        <f>SUMIF(Data_Donasi[Nama_Donatur],Data_Donasi[[#This Row],[Nama_Donatur]],Data_Donasi[Nominal])</f>
        <v>45950000</v>
      </c>
    </row>
    <row r="75" spans="1:7" x14ac:dyDescent="0.3">
      <c r="A75" s="14" t="s">
        <v>42</v>
      </c>
      <c r="B75" s="4" t="s">
        <v>142</v>
      </c>
      <c r="C75" s="4" t="s">
        <v>242</v>
      </c>
      <c r="D75" s="9">
        <v>45677</v>
      </c>
      <c r="E75" s="12">
        <v>250000</v>
      </c>
      <c r="F75" t="str" cm="1">
        <f t="array" ref="F75">_xlfn.IFS(G75&lt;5000000, "Bronze", G75&lt;10000000, "Silver", G75&lt;20000000, "Gold", G75&gt;=20000000, "Diamond")</f>
        <v>Diamond</v>
      </c>
      <c r="G75" s="11">
        <f>SUMIF(Data_Donasi[Nama_Donatur],Data_Donasi[[#This Row],[Nama_Donatur]],Data_Donasi[Nominal])</f>
        <v>42100000</v>
      </c>
    </row>
    <row r="76" spans="1:7" x14ac:dyDescent="0.3">
      <c r="A76" s="14" t="s">
        <v>90</v>
      </c>
      <c r="B76" s="4" t="s">
        <v>190</v>
      </c>
      <c r="C76" s="4" t="s">
        <v>290</v>
      </c>
      <c r="D76" s="9">
        <v>45678</v>
      </c>
      <c r="E76" s="12">
        <v>7000000</v>
      </c>
      <c r="F76" t="str" cm="1">
        <f t="array" ref="F76">_xlfn.IFS(G76&lt;5000000, "Bronze", G76&lt;10000000, "Silver", G76&lt;20000000, "Gold", G76&gt;=20000000, "Diamond")</f>
        <v>Diamond</v>
      </c>
      <c r="G76" s="11">
        <f>SUMIF(Data_Donasi[Nama_Donatur],Data_Donasi[[#This Row],[Nama_Donatur]],Data_Donasi[Nominal])</f>
        <v>52300000</v>
      </c>
    </row>
    <row r="77" spans="1:7" x14ac:dyDescent="0.3">
      <c r="A77" s="14" t="s">
        <v>72</v>
      </c>
      <c r="B77" s="4" t="s">
        <v>172</v>
      </c>
      <c r="C77" s="4" t="s">
        <v>272</v>
      </c>
      <c r="D77" s="9">
        <v>45678</v>
      </c>
      <c r="E77" s="12">
        <v>1000000</v>
      </c>
      <c r="F77" t="str" cm="1">
        <f t="array" ref="F77">_xlfn.IFS(G77&lt;5000000, "Bronze", G77&lt;10000000, "Silver", G77&lt;20000000, "Gold", G77&gt;=20000000, "Diamond")</f>
        <v>Diamond</v>
      </c>
      <c r="G77" s="11">
        <f>SUMIF(Data_Donasi[Nama_Donatur],Data_Donasi[[#This Row],[Nama_Donatur]],Data_Donasi[Nominal])</f>
        <v>53250000</v>
      </c>
    </row>
    <row r="78" spans="1:7" x14ac:dyDescent="0.3">
      <c r="A78" s="14" t="s">
        <v>91</v>
      </c>
      <c r="B78" s="4" t="s">
        <v>191</v>
      </c>
      <c r="C78" s="4" t="s">
        <v>291</v>
      </c>
      <c r="D78" s="9">
        <v>45678</v>
      </c>
      <c r="E78" s="12">
        <v>20000000</v>
      </c>
      <c r="F78" t="str" cm="1">
        <f t="array" ref="F78">_xlfn.IFS(G78&lt;5000000, "Bronze", G78&lt;10000000, "Silver", G78&lt;20000000, "Gold", G78&gt;=20000000, "Diamond")</f>
        <v>Diamond</v>
      </c>
      <c r="G78" s="11">
        <f>SUMIF(Data_Donasi[Nama_Donatur],Data_Donasi[[#This Row],[Nama_Donatur]],Data_Donasi[Nominal])</f>
        <v>40950000</v>
      </c>
    </row>
    <row r="79" spans="1:7" x14ac:dyDescent="0.3">
      <c r="A79" s="14" t="s">
        <v>34</v>
      </c>
      <c r="B79" s="4" t="s">
        <v>134</v>
      </c>
      <c r="C79" s="4" t="s">
        <v>234</v>
      </c>
      <c r="D79" s="9">
        <v>45678</v>
      </c>
      <c r="E79" s="12">
        <v>2000000</v>
      </c>
      <c r="F79" t="str" cm="1">
        <f t="array" ref="F79">_xlfn.IFS(G79&lt;5000000, "Bronze", G79&lt;10000000, "Silver", G79&lt;20000000, "Gold", G79&gt;=20000000, "Diamond")</f>
        <v>Gold</v>
      </c>
      <c r="G79" s="11">
        <f>SUMIF(Data_Donasi[Nama_Donatur],Data_Donasi[[#This Row],[Nama_Donatur]],Data_Donasi[Nominal])</f>
        <v>18400000</v>
      </c>
    </row>
    <row r="80" spans="1:7" x14ac:dyDescent="0.3">
      <c r="A80" s="14" t="s">
        <v>101</v>
      </c>
      <c r="B80" s="4" t="s">
        <v>201</v>
      </c>
      <c r="C80" s="4" t="s">
        <v>301</v>
      </c>
      <c r="D80" s="9">
        <v>45678</v>
      </c>
      <c r="E80" s="12">
        <v>500000</v>
      </c>
      <c r="F80" t="str" cm="1">
        <f t="array" ref="F80">_xlfn.IFS(G80&lt;5000000, "Bronze", G80&lt;10000000, "Silver", G80&lt;20000000, "Gold", G80&gt;=20000000, "Diamond")</f>
        <v>Silver</v>
      </c>
      <c r="G80" s="11">
        <f>SUMIF(Data_Donasi[Nama_Donatur],Data_Donasi[[#This Row],[Nama_Donatur]],Data_Donasi[Nominal])</f>
        <v>8650000</v>
      </c>
    </row>
    <row r="81" spans="1:7" x14ac:dyDescent="0.3">
      <c r="A81" s="14" t="s">
        <v>31</v>
      </c>
      <c r="B81" s="4" t="s">
        <v>131</v>
      </c>
      <c r="C81" s="4" t="s">
        <v>231</v>
      </c>
      <c r="D81" s="9">
        <v>45679</v>
      </c>
      <c r="E81" s="12">
        <v>20000000</v>
      </c>
      <c r="F81" t="str" cm="1">
        <f t="array" ref="F81">_xlfn.IFS(G81&lt;5000000, "Bronze", G81&lt;10000000, "Silver", G81&lt;20000000, "Gold", G81&gt;=20000000, "Diamond")</f>
        <v>Diamond</v>
      </c>
      <c r="G81" s="11">
        <f>SUMIF(Data_Donasi[Nama_Donatur],Data_Donasi[[#This Row],[Nama_Donatur]],Data_Donasi[Nominal])</f>
        <v>73400000</v>
      </c>
    </row>
    <row r="82" spans="1:7" x14ac:dyDescent="0.3">
      <c r="A82" s="14" t="s">
        <v>79</v>
      </c>
      <c r="B82" s="4" t="s">
        <v>179</v>
      </c>
      <c r="C82" s="4" t="s">
        <v>279</v>
      </c>
      <c r="D82" s="9">
        <v>45679</v>
      </c>
      <c r="E82" s="12">
        <v>150000</v>
      </c>
      <c r="F82" t="str" cm="1">
        <f t="array" ref="F82">_xlfn.IFS(G82&lt;5000000, "Bronze", G82&lt;10000000, "Silver", G82&lt;20000000, "Gold", G82&gt;=20000000, "Diamond")</f>
        <v>Diamond</v>
      </c>
      <c r="G82" s="11">
        <f>SUMIF(Data_Donasi[Nama_Donatur],Data_Donasi[[#This Row],[Nama_Donatur]],Data_Donasi[Nominal])</f>
        <v>23700000</v>
      </c>
    </row>
    <row r="83" spans="1:7" x14ac:dyDescent="0.3">
      <c r="A83" s="14" t="s">
        <v>36</v>
      </c>
      <c r="B83" s="4" t="s">
        <v>136</v>
      </c>
      <c r="C83" s="4" t="s">
        <v>236</v>
      </c>
      <c r="D83" s="9">
        <v>45679</v>
      </c>
      <c r="E83" s="12">
        <v>250000</v>
      </c>
      <c r="F83" t="str" cm="1">
        <f t="array" ref="F83">_xlfn.IFS(G83&lt;5000000, "Bronze", G83&lt;10000000, "Silver", G83&lt;20000000, "Gold", G83&gt;=20000000, "Diamond")</f>
        <v>Diamond</v>
      </c>
      <c r="G83" s="11">
        <f>SUMIF(Data_Donasi[Nama_Donatur],Data_Donasi[[#This Row],[Nama_Donatur]],Data_Donasi[Nominal])</f>
        <v>25500000</v>
      </c>
    </row>
    <row r="84" spans="1:7" x14ac:dyDescent="0.3">
      <c r="A84" s="14" t="s">
        <v>58</v>
      </c>
      <c r="B84" s="4" t="s">
        <v>158</v>
      </c>
      <c r="C84" s="4" t="s">
        <v>258</v>
      </c>
      <c r="D84" s="9">
        <v>45679</v>
      </c>
      <c r="E84" s="12">
        <v>500000</v>
      </c>
      <c r="F84" t="str" cm="1">
        <f t="array" ref="F84">_xlfn.IFS(G84&lt;5000000, "Bronze", G84&lt;10000000, "Silver", G84&lt;20000000, "Gold", G84&gt;=20000000, "Diamond")</f>
        <v>Gold</v>
      </c>
      <c r="G84" s="11">
        <f>SUMIF(Data_Donasi[Nama_Donatur],Data_Donasi[[#This Row],[Nama_Donatur]],Data_Donasi[Nominal])</f>
        <v>12000000</v>
      </c>
    </row>
    <row r="85" spans="1:7" x14ac:dyDescent="0.3">
      <c r="A85" s="14" t="s">
        <v>66</v>
      </c>
      <c r="B85" s="4" t="s">
        <v>166</v>
      </c>
      <c r="C85" s="4" t="s">
        <v>266</v>
      </c>
      <c r="D85" s="9">
        <v>45680</v>
      </c>
      <c r="E85" s="12">
        <v>2000000</v>
      </c>
      <c r="F85" t="str" cm="1">
        <f t="array" ref="F85">_xlfn.IFS(G85&lt;5000000, "Bronze", G85&lt;10000000, "Silver", G85&lt;20000000, "Gold", G85&gt;=20000000, "Diamond")</f>
        <v>Diamond</v>
      </c>
      <c r="G85" s="11">
        <f>SUMIF(Data_Donasi[Nama_Donatur],Data_Donasi[[#This Row],[Nama_Donatur]],Data_Donasi[Nominal])</f>
        <v>26350000</v>
      </c>
    </row>
    <row r="86" spans="1:7" x14ac:dyDescent="0.3">
      <c r="A86" s="14" t="s">
        <v>86</v>
      </c>
      <c r="B86" s="4" t="s">
        <v>186</v>
      </c>
      <c r="C86" s="4" t="s">
        <v>286</v>
      </c>
      <c r="D86" s="9">
        <v>45680</v>
      </c>
      <c r="E86" s="12">
        <v>50000</v>
      </c>
      <c r="F86" t="str" cm="1">
        <f t="array" ref="F86">_xlfn.IFS(G86&lt;5000000, "Bronze", G86&lt;10000000, "Silver", G86&lt;20000000, "Gold", G86&gt;=20000000, "Diamond")</f>
        <v>Diamond</v>
      </c>
      <c r="G86" s="11">
        <f>SUMIF(Data_Donasi[Nama_Donatur],Data_Donasi[[#This Row],[Nama_Donatur]],Data_Donasi[Nominal])</f>
        <v>50500000</v>
      </c>
    </row>
    <row r="87" spans="1:7" x14ac:dyDescent="0.3">
      <c r="A87" s="14" t="s">
        <v>62</v>
      </c>
      <c r="B87" s="4" t="s">
        <v>162</v>
      </c>
      <c r="C87" s="4" t="s">
        <v>262</v>
      </c>
      <c r="D87" s="9">
        <v>45680</v>
      </c>
      <c r="E87" s="12">
        <v>200000</v>
      </c>
      <c r="F87" t="str" cm="1">
        <f t="array" ref="F87">_xlfn.IFS(G87&lt;5000000, "Bronze", G87&lt;10000000, "Silver", G87&lt;20000000, "Gold", G87&gt;=20000000, "Diamond")</f>
        <v>Silver</v>
      </c>
      <c r="G87" s="11">
        <f>SUMIF(Data_Donasi[Nama_Donatur],Data_Donasi[[#This Row],[Nama_Donatur]],Data_Donasi[Nominal])</f>
        <v>7850000</v>
      </c>
    </row>
    <row r="88" spans="1:7" x14ac:dyDescent="0.3">
      <c r="A88" s="14" t="s">
        <v>31</v>
      </c>
      <c r="B88" s="4" t="s">
        <v>131</v>
      </c>
      <c r="C88" s="4" t="s">
        <v>231</v>
      </c>
      <c r="D88" s="9">
        <v>45680</v>
      </c>
      <c r="E88" s="12">
        <v>150000</v>
      </c>
      <c r="F88" t="str" cm="1">
        <f t="array" ref="F88">_xlfn.IFS(G88&lt;5000000, "Bronze", G88&lt;10000000, "Silver", G88&lt;20000000, "Gold", G88&gt;=20000000, "Diamond")</f>
        <v>Diamond</v>
      </c>
      <c r="G88" s="11">
        <f>SUMIF(Data_Donasi[Nama_Donatur],Data_Donasi[[#This Row],[Nama_Donatur]],Data_Donasi[Nominal])</f>
        <v>73400000</v>
      </c>
    </row>
    <row r="89" spans="1:7" x14ac:dyDescent="0.3">
      <c r="A89" s="14" t="s">
        <v>38</v>
      </c>
      <c r="B89" s="4" t="s">
        <v>138</v>
      </c>
      <c r="C89" s="4" t="s">
        <v>238</v>
      </c>
      <c r="D89" s="9">
        <v>45680</v>
      </c>
      <c r="E89" s="12">
        <v>3000000</v>
      </c>
      <c r="F89" t="str" cm="1">
        <f t="array" ref="F89">_xlfn.IFS(G89&lt;5000000, "Bronze", G89&lt;10000000, "Silver", G89&lt;20000000, "Gold", G89&gt;=20000000, "Diamond")</f>
        <v>Diamond</v>
      </c>
      <c r="G89" s="11">
        <f>SUMIF(Data_Donasi[Nama_Donatur],Data_Donasi[[#This Row],[Nama_Donatur]],Data_Donasi[Nominal])</f>
        <v>35400000</v>
      </c>
    </row>
    <row r="90" spans="1:7" x14ac:dyDescent="0.3">
      <c r="A90" s="14" t="s">
        <v>5</v>
      </c>
      <c r="B90" s="4" t="s">
        <v>105</v>
      </c>
      <c r="C90" s="4" t="s">
        <v>205</v>
      </c>
      <c r="D90" s="9">
        <v>45681</v>
      </c>
      <c r="E90" s="12">
        <v>200000</v>
      </c>
      <c r="F90" t="str" cm="1">
        <f t="array" ref="F90">_xlfn.IFS(G90&lt;5000000, "Bronze", G90&lt;10000000, "Silver", G90&lt;20000000, "Gold", G90&gt;=20000000, "Diamond")</f>
        <v>Diamond</v>
      </c>
      <c r="G90" s="11">
        <f>SUMIF(Data_Donasi[Nama_Donatur],Data_Donasi[[#This Row],[Nama_Donatur]],Data_Donasi[Nominal])</f>
        <v>42050000</v>
      </c>
    </row>
    <row r="91" spans="1:7" x14ac:dyDescent="0.3">
      <c r="A91" s="14" t="s">
        <v>62</v>
      </c>
      <c r="B91" s="4" t="s">
        <v>162</v>
      </c>
      <c r="C91" s="4" t="s">
        <v>262</v>
      </c>
      <c r="D91" s="9">
        <v>45681</v>
      </c>
      <c r="E91" s="12">
        <v>100000</v>
      </c>
      <c r="F91" t="str" cm="1">
        <f t="array" ref="F91">_xlfn.IFS(G91&lt;5000000, "Bronze", G91&lt;10000000, "Silver", G91&lt;20000000, "Gold", G91&gt;=20000000, "Diamond")</f>
        <v>Silver</v>
      </c>
      <c r="G91" s="11">
        <f>SUMIF(Data_Donasi[Nama_Donatur],Data_Donasi[[#This Row],[Nama_Donatur]],Data_Donasi[Nominal])</f>
        <v>7850000</v>
      </c>
    </row>
    <row r="92" spans="1:7" x14ac:dyDescent="0.3">
      <c r="A92" s="14" t="s">
        <v>41</v>
      </c>
      <c r="B92" s="4" t="s">
        <v>141</v>
      </c>
      <c r="C92" s="4" t="s">
        <v>241</v>
      </c>
      <c r="D92" s="9">
        <v>45682</v>
      </c>
      <c r="E92" s="12">
        <v>3000000</v>
      </c>
      <c r="F92" t="str" cm="1">
        <f t="array" ref="F92">_xlfn.IFS(G92&lt;5000000, "Bronze", G92&lt;10000000, "Silver", G92&lt;20000000, "Gold", G92&gt;=20000000, "Diamond")</f>
        <v>Gold</v>
      </c>
      <c r="G92" s="11">
        <f>SUMIF(Data_Donasi[Nama_Donatur],Data_Donasi[[#This Row],[Nama_Donatur]],Data_Donasi[Nominal])</f>
        <v>10400000</v>
      </c>
    </row>
    <row r="93" spans="1:7" x14ac:dyDescent="0.3">
      <c r="A93" s="14" t="s">
        <v>72</v>
      </c>
      <c r="B93" s="4" t="s">
        <v>172</v>
      </c>
      <c r="C93" s="4" t="s">
        <v>272</v>
      </c>
      <c r="D93" s="9">
        <v>45682</v>
      </c>
      <c r="E93" s="12">
        <v>20000000</v>
      </c>
      <c r="F93" t="str" cm="1">
        <f t="array" ref="F93">_xlfn.IFS(G93&lt;5000000, "Bronze", G93&lt;10000000, "Silver", G93&lt;20000000, "Gold", G93&gt;=20000000, "Diamond")</f>
        <v>Diamond</v>
      </c>
      <c r="G93" s="11">
        <f>SUMIF(Data_Donasi[Nama_Donatur],Data_Donasi[[#This Row],[Nama_Donatur]],Data_Donasi[Nominal])</f>
        <v>53250000</v>
      </c>
    </row>
    <row r="94" spans="1:7" x14ac:dyDescent="0.3">
      <c r="A94" s="14" t="s">
        <v>85</v>
      </c>
      <c r="B94" s="4" t="s">
        <v>185</v>
      </c>
      <c r="C94" s="4" t="s">
        <v>285</v>
      </c>
      <c r="D94" s="9">
        <v>45682</v>
      </c>
      <c r="E94" s="12">
        <v>50000</v>
      </c>
      <c r="F94" t="str" cm="1">
        <f t="array" ref="F94">_xlfn.IFS(G94&lt;5000000, "Bronze", G94&lt;10000000, "Silver", G94&lt;20000000, "Gold", G94&gt;=20000000, "Diamond")</f>
        <v>Gold</v>
      </c>
      <c r="G94" s="11">
        <f>SUMIF(Data_Donasi[Nama_Donatur],Data_Donasi[[#This Row],[Nama_Donatur]],Data_Donasi[Nominal])</f>
        <v>18900000</v>
      </c>
    </row>
    <row r="95" spans="1:7" x14ac:dyDescent="0.3">
      <c r="A95" s="14" t="s">
        <v>15</v>
      </c>
      <c r="B95" s="4" t="s">
        <v>115</v>
      </c>
      <c r="C95" s="4" t="s">
        <v>215</v>
      </c>
      <c r="D95" s="9">
        <v>45683</v>
      </c>
      <c r="E95" s="12">
        <v>500000</v>
      </c>
      <c r="F95" t="str" cm="1">
        <f t="array" ref="F95">_xlfn.IFS(G95&lt;5000000, "Bronze", G95&lt;10000000, "Silver", G95&lt;20000000, "Gold", G95&gt;=20000000, "Diamond")</f>
        <v>Diamond</v>
      </c>
      <c r="G95" s="11">
        <f>SUMIF(Data_Donasi[Nama_Donatur],Data_Donasi[[#This Row],[Nama_Donatur]],Data_Donasi[Nominal])</f>
        <v>84750000</v>
      </c>
    </row>
    <row r="96" spans="1:7" x14ac:dyDescent="0.3">
      <c r="A96" s="14" t="s">
        <v>50</v>
      </c>
      <c r="B96" s="4" t="s">
        <v>150</v>
      </c>
      <c r="C96" s="4" t="s">
        <v>250</v>
      </c>
      <c r="D96" s="9">
        <v>45683</v>
      </c>
      <c r="E96" s="12">
        <v>2000000</v>
      </c>
      <c r="F96" t="str" cm="1">
        <f t="array" ref="F96">_xlfn.IFS(G96&lt;5000000, "Bronze", G96&lt;10000000, "Silver", G96&lt;20000000, "Gold", G96&gt;=20000000, "Diamond")</f>
        <v>Diamond</v>
      </c>
      <c r="G96" s="11">
        <f>SUMIF(Data_Donasi[Nama_Donatur],Data_Donasi[[#This Row],[Nama_Donatur]],Data_Donasi[Nominal])</f>
        <v>39700000</v>
      </c>
    </row>
    <row r="97" spans="1:7" x14ac:dyDescent="0.3">
      <c r="A97" s="14" t="s">
        <v>84</v>
      </c>
      <c r="B97" s="4" t="s">
        <v>184</v>
      </c>
      <c r="C97" s="4" t="s">
        <v>284</v>
      </c>
      <c r="D97" s="9">
        <v>45683</v>
      </c>
      <c r="E97" s="12">
        <v>3000000</v>
      </c>
      <c r="F97" t="str" cm="1">
        <f t="array" ref="F97">_xlfn.IFS(G97&lt;5000000, "Bronze", G97&lt;10000000, "Silver", G97&lt;20000000, "Gold", G97&gt;=20000000, "Diamond")</f>
        <v>Diamond</v>
      </c>
      <c r="G97" s="11">
        <f>SUMIF(Data_Donasi[Nama_Donatur],Data_Donasi[[#This Row],[Nama_Donatur]],Data_Donasi[Nominal])</f>
        <v>33150000</v>
      </c>
    </row>
    <row r="98" spans="1:7" x14ac:dyDescent="0.3">
      <c r="A98" s="14" t="s">
        <v>20</v>
      </c>
      <c r="B98" s="4" t="s">
        <v>120</v>
      </c>
      <c r="C98" s="4" t="s">
        <v>220</v>
      </c>
      <c r="D98" s="9">
        <v>45684</v>
      </c>
      <c r="E98" s="12">
        <v>100000</v>
      </c>
      <c r="F98" t="str" cm="1">
        <f t="array" ref="F98">_xlfn.IFS(G98&lt;5000000, "Bronze", G98&lt;10000000, "Silver", G98&lt;20000000, "Gold", G98&gt;=20000000, "Diamond")</f>
        <v>Diamond</v>
      </c>
      <c r="G98" s="11">
        <f>SUMIF(Data_Donasi[Nama_Donatur],Data_Donasi[[#This Row],[Nama_Donatur]],Data_Donasi[Nominal])</f>
        <v>25800000</v>
      </c>
    </row>
    <row r="99" spans="1:7" x14ac:dyDescent="0.3">
      <c r="A99" s="14" t="s">
        <v>75</v>
      </c>
      <c r="B99" s="4" t="s">
        <v>175</v>
      </c>
      <c r="C99" s="4" t="s">
        <v>275</v>
      </c>
      <c r="D99" s="9">
        <v>45684</v>
      </c>
      <c r="E99" s="12">
        <v>5000000</v>
      </c>
      <c r="F99" t="str" cm="1">
        <f t="array" ref="F99">_xlfn.IFS(G99&lt;5000000, "Bronze", G99&lt;10000000, "Silver", G99&lt;20000000, "Gold", G99&gt;=20000000, "Diamond")</f>
        <v>Diamond</v>
      </c>
      <c r="G99" s="11">
        <f>SUMIF(Data_Donasi[Nama_Donatur],Data_Donasi[[#This Row],[Nama_Donatur]],Data_Donasi[Nominal])</f>
        <v>44400000</v>
      </c>
    </row>
    <row r="100" spans="1:7" x14ac:dyDescent="0.3">
      <c r="A100" s="14" t="s">
        <v>55</v>
      </c>
      <c r="B100" s="4" t="s">
        <v>155</v>
      </c>
      <c r="C100" s="4" t="s">
        <v>255</v>
      </c>
      <c r="D100" s="9">
        <v>45684</v>
      </c>
      <c r="E100" s="12">
        <v>50000</v>
      </c>
      <c r="F100" t="str" cm="1">
        <f t="array" ref="F100">_xlfn.IFS(G100&lt;5000000, "Bronze", G100&lt;10000000, "Silver", G100&lt;20000000, "Gold", G100&gt;=20000000, "Diamond")</f>
        <v>Diamond</v>
      </c>
      <c r="G100" s="11">
        <f>SUMIF(Data_Donasi[Nama_Donatur],Data_Donasi[[#This Row],[Nama_Donatur]],Data_Donasi[Nominal])</f>
        <v>50950000</v>
      </c>
    </row>
    <row r="101" spans="1:7" x14ac:dyDescent="0.3">
      <c r="A101" s="14" t="s">
        <v>44</v>
      </c>
      <c r="B101" s="4" t="s">
        <v>144</v>
      </c>
      <c r="C101" s="4" t="s">
        <v>244</v>
      </c>
      <c r="D101" s="9">
        <v>45685</v>
      </c>
      <c r="E101" s="12">
        <v>150000</v>
      </c>
      <c r="F101" t="str" cm="1">
        <f t="array" ref="F101">_xlfn.IFS(G101&lt;5000000, "Bronze", G101&lt;10000000, "Silver", G101&lt;20000000, "Gold", G101&gt;=20000000, "Diamond")</f>
        <v>Diamond</v>
      </c>
      <c r="G101" s="11">
        <f>SUMIF(Data_Donasi[Nama_Donatur],Data_Donasi[[#This Row],[Nama_Donatur]],Data_Donasi[Nominal])</f>
        <v>66400000</v>
      </c>
    </row>
    <row r="102" spans="1:7" x14ac:dyDescent="0.3">
      <c r="A102" s="14" t="s">
        <v>9</v>
      </c>
      <c r="B102" s="4" t="s">
        <v>109</v>
      </c>
      <c r="C102" s="4" t="s">
        <v>209</v>
      </c>
      <c r="D102" s="9">
        <v>45685</v>
      </c>
      <c r="E102" s="12">
        <v>1000000</v>
      </c>
      <c r="F102" t="str" cm="1">
        <f t="array" ref="F102">_xlfn.IFS(G102&lt;5000000, "Bronze", G102&lt;10000000, "Silver", G102&lt;20000000, "Gold", G102&gt;=20000000, "Diamond")</f>
        <v>Diamond</v>
      </c>
      <c r="G102" s="11">
        <f>SUMIF(Data_Donasi[Nama_Donatur],Data_Donasi[[#This Row],[Nama_Donatur]],Data_Donasi[Nominal])</f>
        <v>24900000</v>
      </c>
    </row>
    <row r="103" spans="1:7" x14ac:dyDescent="0.3">
      <c r="A103" s="14" t="s">
        <v>10</v>
      </c>
      <c r="B103" s="4" t="s">
        <v>110</v>
      </c>
      <c r="C103" s="4" t="s">
        <v>210</v>
      </c>
      <c r="D103" s="9">
        <v>45685</v>
      </c>
      <c r="E103" s="12">
        <v>250000</v>
      </c>
      <c r="F103" t="str" cm="1">
        <f t="array" ref="F103">_xlfn.IFS(G103&lt;5000000, "Bronze", G103&lt;10000000, "Silver", G103&lt;20000000, "Gold", G103&gt;=20000000, "Diamond")</f>
        <v>Diamond</v>
      </c>
      <c r="G103" s="11">
        <f>SUMIF(Data_Donasi[Nama_Donatur],Data_Donasi[[#This Row],[Nama_Donatur]],Data_Donasi[Nominal])</f>
        <v>36200000</v>
      </c>
    </row>
    <row r="104" spans="1:7" x14ac:dyDescent="0.3">
      <c r="A104" s="14" t="s">
        <v>40</v>
      </c>
      <c r="B104" s="4" t="s">
        <v>140</v>
      </c>
      <c r="C104" s="4" t="s">
        <v>240</v>
      </c>
      <c r="D104" s="9">
        <v>45685</v>
      </c>
      <c r="E104" s="12">
        <v>5000000</v>
      </c>
      <c r="F104" t="str" cm="1">
        <f t="array" ref="F104">_xlfn.IFS(G104&lt;5000000, "Bronze", G104&lt;10000000, "Silver", G104&lt;20000000, "Gold", G104&gt;=20000000, "Diamond")</f>
        <v>Diamond</v>
      </c>
      <c r="G104" s="11">
        <f>SUMIF(Data_Donasi[Nama_Donatur],Data_Donasi[[#This Row],[Nama_Donatur]],Data_Donasi[Nominal])</f>
        <v>45950000</v>
      </c>
    </row>
    <row r="105" spans="1:7" x14ac:dyDescent="0.3">
      <c r="A105" s="14" t="s">
        <v>103</v>
      </c>
      <c r="B105" s="4" t="s">
        <v>203</v>
      </c>
      <c r="C105" s="4" t="s">
        <v>303</v>
      </c>
      <c r="D105" s="9">
        <v>45685</v>
      </c>
      <c r="E105" s="12">
        <v>7000000</v>
      </c>
      <c r="F105" t="str" cm="1">
        <f t="array" ref="F105">_xlfn.IFS(G105&lt;5000000, "Bronze", G105&lt;10000000, "Silver", G105&lt;20000000, "Gold", G105&gt;=20000000, "Diamond")</f>
        <v>Diamond</v>
      </c>
      <c r="G105" s="11">
        <f>SUMIF(Data_Donasi[Nama_Donatur],Data_Donasi[[#This Row],[Nama_Donatur]],Data_Donasi[Nominal])</f>
        <v>50550000</v>
      </c>
    </row>
    <row r="106" spans="1:7" x14ac:dyDescent="0.3">
      <c r="A106" s="14" t="s">
        <v>13</v>
      </c>
      <c r="B106" s="4" t="s">
        <v>113</v>
      </c>
      <c r="C106" s="4" t="s">
        <v>213</v>
      </c>
      <c r="D106" s="9">
        <v>45685</v>
      </c>
      <c r="E106" s="12">
        <v>20000000</v>
      </c>
      <c r="F106" t="str" cm="1">
        <f t="array" ref="F106">_xlfn.IFS(G106&lt;5000000, "Bronze", G106&lt;10000000, "Silver", G106&lt;20000000, "Gold", G106&gt;=20000000, "Diamond")</f>
        <v>Diamond</v>
      </c>
      <c r="G106" s="11">
        <f>SUMIF(Data_Donasi[Nama_Donatur],Data_Donasi[[#This Row],[Nama_Donatur]],Data_Donasi[Nominal])</f>
        <v>46550000</v>
      </c>
    </row>
    <row r="107" spans="1:7" x14ac:dyDescent="0.3">
      <c r="A107" s="14" t="s">
        <v>8</v>
      </c>
      <c r="B107" s="4" t="s">
        <v>108</v>
      </c>
      <c r="C107" s="4" t="s">
        <v>208</v>
      </c>
      <c r="D107" s="9">
        <v>45685</v>
      </c>
      <c r="E107" s="12">
        <v>250000</v>
      </c>
      <c r="F107" t="str" cm="1">
        <f t="array" ref="F107">_xlfn.IFS(G107&lt;5000000, "Bronze", G107&lt;10000000, "Silver", G107&lt;20000000, "Gold", G107&gt;=20000000, "Diamond")</f>
        <v>Diamond</v>
      </c>
      <c r="G107" s="11">
        <f>SUMIF(Data_Donasi[Nama_Donatur],Data_Donasi[[#This Row],[Nama_Donatur]],Data_Donasi[Nominal])</f>
        <v>31750000</v>
      </c>
    </row>
    <row r="108" spans="1:7" x14ac:dyDescent="0.3">
      <c r="A108" s="14" t="s">
        <v>76</v>
      </c>
      <c r="B108" s="4" t="s">
        <v>176</v>
      </c>
      <c r="C108" s="4" t="s">
        <v>276</v>
      </c>
      <c r="D108" s="9">
        <v>45685</v>
      </c>
      <c r="E108" s="12">
        <v>20000000</v>
      </c>
      <c r="F108" t="str" cm="1">
        <f t="array" ref="F108">_xlfn.IFS(G108&lt;5000000, "Bronze", G108&lt;10000000, "Silver", G108&lt;20000000, "Gold", G108&gt;=20000000, "Diamond")</f>
        <v>Diamond</v>
      </c>
      <c r="G108" s="11">
        <f>SUMIF(Data_Donasi[Nama_Donatur],Data_Donasi[[#This Row],[Nama_Donatur]],Data_Donasi[Nominal])</f>
        <v>37400000</v>
      </c>
    </row>
    <row r="109" spans="1:7" x14ac:dyDescent="0.3">
      <c r="A109" s="14" t="s">
        <v>90</v>
      </c>
      <c r="B109" s="4" t="s">
        <v>190</v>
      </c>
      <c r="C109" s="4" t="s">
        <v>290</v>
      </c>
      <c r="D109" s="9">
        <v>45686</v>
      </c>
      <c r="E109" s="12">
        <v>7000000</v>
      </c>
      <c r="F109" t="str" cm="1">
        <f t="array" ref="F109">_xlfn.IFS(G109&lt;5000000, "Bronze", G109&lt;10000000, "Silver", G109&lt;20000000, "Gold", G109&gt;=20000000, "Diamond")</f>
        <v>Diamond</v>
      </c>
      <c r="G109" s="11">
        <f>SUMIF(Data_Donasi[Nama_Donatur],Data_Donasi[[#This Row],[Nama_Donatur]],Data_Donasi[Nominal])</f>
        <v>52300000</v>
      </c>
    </row>
    <row r="110" spans="1:7" x14ac:dyDescent="0.3">
      <c r="A110" s="14" t="s">
        <v>18</v>
      </c>
      <c r="B110" s="4" t="s">
        <v>118</v>
      </c>
      <c r="C110" s="4" t="s">
        <v>218</v>
      </c>
      <c r="D110" s="9">
        <v>45686</v>
      </c>
      <c r="E110" s="12">
        <v>3000000</v>
      </c>
      <c r="F110" t="str" cm="1">
        <f t="array" ref="F110">_xlfn.IFS(G110&lt;5000000, "Bronze", G110&lt;10000000, "Silver", G110&lt;20000000, "Gold", G110&gt;=20000000, "Diamond")</f>
        <v>Diamond</v>
      </c>
      <c r="G110" s="11">
        <f>SUMIF(Data_Donasi[Nama_Donatur],Data_Donasi[[#This Row],[Nama_Donatur]],Data_Donasi[Nominal])</f>
        <v>30000000</v>
      </c>
    </row>
    <row r="111" spans="1:7" x14ac:dyDescent="0.3">
      <c r="A111" s="14" t="s">
        <v>34</v>
      </c>
      <c r="B111" s="4" t="s">
        <v>134</v>
      </c>
      <c r="C111" s="4" t="s">
        <v>234</v>
      </c>
      <c r="D111" s="9">
        <v>45687</v>
      </c>
      <c r="E111" s="12">
        <v>500000</v>
      </c>
      <c r="F111" t="str" cm="1">
        <f t="array" ref="F111">_xlfn.IFS(G111&lt;5000000, "Bronze", G111&lt;10000000, "Silver", G111&lt;20000000, "Gold", G111&gt;=20000000, "Diamond")</f>
        <v>Gold</v>
      </c>
      <c r="G111" s="11">
        <f>SUMIF(Data_Donasi[Nama_Donatur],Data_Donasi[[#This Row],[Nama_Donatur]],Data_Donasi[Nominal])</f>
        <v>18400000</v>
      </c>
    </row>
    <row r="112" spans="1:7" x14ac:dyDescent="0.3">
      <c r="A112" s="14" t="s">
        <v>60</v>
      </c>
      <c r="B112" s="4" t="s">
        <v>160</v>
      </c>
      <c r="C112" s="4" t="s">
        <v>260</v>
      </c>
      <c r="D112" s="9">
        <v>45687</v>
      </c>
      <c r="E112" s="12">
        <v>3000000</v>
      </c>
      <c r="F112" t="str" cm="1">
        <f t="array" ref="F112">_xlfn.IFS(G112&lt;5000000, "Bronze", G112&lt;10000000, "Silver", G112&lt;20000000, "Gold", G112&gt;=20000000, "Diamond")</f>
        <v>Silver</v>
      </c>
      <c r="G112" s="11">
        <f>SUMIF(Data_Donasi[Nama_Donatur],Data_Donasi[[#This Row],[Nama_Donatur]],Data_Donasi[Nominal])</f>
        <v>9150000</v>
      </c>
    </row>
    <row r="113" spans="1:7" x14ac:dyDescent="0.3">
      <c r="A113" s="14" t="s">
        <v>85</v>
      </c>
      <c r="B113" s="4" t="s">
        <v>185</v>
      </c>
      <c r="C113" s="4" t="s">
        <v>285</v>
      </c>
      <c r="D113" s="9">
        <v>45688</v>
      </c>
      <c r="E113" s="12">
        <v>250000</v>
      </c>
      <c r="F113" t="str" cm="1">
        <f t="array" ref="F113">_xlfn.IFS(G113&lt;5000000, "Bronze", G113&lt;10000000, "Silver", G113&lt;20000000, "Gold", G113&gt;=20000000, "Diamond")</f>
        <v>Gold</v>
      </c>
      <c r="G113" s="11">
        <f>SUMIF(Data_Donasi[Nama_Donatur],Data_Donasi[[#This Row],[Nama_Donatur]],Data_Donasi[Nominal])</f>
        <v>18900000</v>
      </c>
    </row>
    <row r="114" spans="1:7" x14ac:dyDescent="0.3">
      <c r="A114" s="14" t="s">
        <v>19</v>
      </c>
      <c r="B114" s="4" t="s">
        <v>119</v>
      </c>
      <c r="C114" s="4" t="s">
        <v>219</v>
      </c>
      <c r="D114" s="9">
        <v>45688</v>
      </c>
      <c r="E114" s="12">
        <v>100000</v>
      </c>
      <c r="F114" t="str" cm="1">
        <f t="array" ref="F114">_xlfn.IFS(G114&lt;5000000, "Bronze", G114&lt;10000000, "Silver", G114&lt;20000000, "Gold", G114&gt;=20000000, "Diamond")</f>
        <v>Diamond</v>
      </c>
      <c r="G114" s="11">
        <f>SUMIF(Data_Donasi[Nama_Donatur],Data_Donasi[[#This Row],[Nama_Donatur]],Data_Donasi[Nominal])</f>
        <v>63400000</v>
      </c>
    </row>
    <row r="115" spans="1:7" x14ac:dyDescent="0.3">
      <c r="A115" s="14" t="s">
        <v>99</v>
      </c>
      <c r="B115" s="4" t="s">
        <v>199</v>
      </c>
      <c r="C115" s="4" t="s">
        <v>299</v>
      </c>
      <c r="D115" s="9">
        <v>45688</v>
      </c>
      <c r="E115" s="12">
        <v>500000</v>
      </c>
      <c r="F115" t="str" cm="1">
        <f t="array" ref="F115">_xlfn.IFS(G115&lt;5000000, "Bronze", G115&lt;10000000, "Silver", G115&lt;20000000, "Gold", G115&gt;=20000000, "Diamond")</f>
        <v>Diamond</v>
      </c>
      <c r="G115" s="11">
        <f>SUMIF(Data_Donasi[Nama_Donatur],Data_Donasi[[#This Row],[Nama_Donatur]],Data_Donasi[Nominal])</f>
        <v>26300000</v>
      </c>
    </row>
    <row r="116" spans="1:7" x14ac:dyDescent="0.3">
      <c r="A116" s="14" t="s">
        <v>92</v>
      </c>
      <c r="B116" s="4" t="s">
        <v>192</v>
      </c>
      <c r="C116" s="4" t="s">
        <v>292</v>
      </c>
      <c r="D116" s="9">
        <v>45689</v>
      </c>
      <c r="E116" s="12">
        <v>7000000</v>
      </c>
      <c r="F116" t="str" cm="1">
        <f t="array" ref="F116">_xlfn.IFS(G116&lt;5000000, "Bronze", G116&lt;10000000, "Silver", G116&lt;20000000, "Gold", G116&gt;=20000000, "Diamond")</f>
        <v>Diamond</v>
      </c>
      <c r="G116" s="11">
        <f>SUMIF(Data_Donasi[Nama_Donatur],Data_Donasi[[#This Row],[Nama_Donatur]],Data_Donasi[Nominal])</f>
        <v>55700000</v>
      </c>
    </row>
    <row r="117" spans="1:7" x14ac:dyDescent="0.3">
      <c r="A117" s="14" t="s">
        <v>103</v>
      </c>
      <c r="B117" s="4" t="s">
        <v>203</v>
      </c>
      <c r="C117" s="4" t="s">
        <v>303</v>
      </c>
      <c r="D117" s="9">
        <v>45689</v>
      </c>
      <c r="E117" s="12">
        <v>250000</v>
      </c>
      <c r="F117" t="str" cm="1">
        <f t="array" ref="F117">_xlfn.IFS(G117&lt;5000000, "Bronze", G117&lt;10000000, "Silver", G117&lt;20000000, "Gold", G117&gt;=20000000, "Diamond")</f>
        <v>Diamond</v>
      </c>
      <c r="G117" s="11">
        <f>SUMIF(Data_Donasi[Nama_Donatur],Data_Donasi[[#This Row],[Nama_Donatur]],Data_Donasi[Nominal])</f>
        <v>50550000</v>
      </c>
    </row>
    <row r="118" spans="1:7" x14ac:dyDescent="0.3">
      <c r="A118" s="14" t="s">
        <v>40</v>
      </c>
      <c r="B118" s="4" t="s">
        <v>140</v>
      </c>
      <c r="C118" s="4" t="s">
        <v>240</v>
      </c>
      <c r="D118" s="9">
        <v>45689</v>
      </c>
      <c r="E118" s="12">
        <v>100000</v>
      </c>
      <c r="F118" t="str" cm="1">
        <f t="array" ref="F118">_xlfn.IFS(G118&lt;5000000, "Bronze", G118&lt;10000000, "Silver", G118&lt;20000000, "Gold", G118&gt;=20000000, "Diamond")</f>
        <v>Diamond</v>
      </c>
      <c r="G118" s="11">
        <f>SUMIF(Data_Donasi[Nama_Donatur],Data_Donasi[[#This Row],[Nama_Donatur]],Data_Donasi[Nominal])</f>
        <v>45950000</v>
      </c>
    </row>
    <row r="119" spans="1:7" x14ac:dyDescent="0.3">
      <c r="A119" s="14" t="s">
        <v>45</v>
      </c>
      <c r="B119" s="4" t="s">
        <v>145</v>
      </c>
      <c r="C119" s="4" t="s">
        <v>245</v>
      </c>
      <c r="D119" s="9">
        <v>45689</v>
      </c>
      <c r="E119" s="12">
        <v>7000000</v>
      </c>
      <c r="F119" t="str" cm="1">
        <f t="array" ref="F119">_xlfn.IFS(G119&lt;5000000, "Bronze", G119&lt;10000000, "Silver", G119&lt;20000000, "Gold", G119&gt;=20000000, "Diamond")</f>
        <v>Diamond</v>
      </c>
      <c r="G119" s="11">
        <f>SUMIF(Data_Donasi[Nama_Donatur],Data_Donasi[[#This Row],[Nama_Donatur]],Data_Donasi[Nominal])</f>
        <v>42850000</v>
      </c>
    </row>
    <row r="120" spans="1:7" x14ac:dyDescent="0.3">
      <c r="A120" s="14" t="s">
        <v>98</v>
      </c>
      <c r="B120" s="4" t="s">
        <v>198</v>
      </c>
      <c r="C120" s="4" t="s">
        <v>298</v>
      </c>
      <c r="D120" s="9">
        <v>45689</v>
      </c>
      <c r="E120" s="12">
        <v>20000000</v>
      </c>
      <c r="F120" t="str" cm="1">
        <f t="array" ref="F120">_xlfn.IFS(G120&lt;5000000, "Bronze", G120&lt;10000000, "Silver", G120&lt;20000000, "Gold", G120&gt;=20000000, "Diamond")</f>
        <v>Diamond</v>
      </c>
      <c r="G120" s="11">
        <f>SUMIF(Data_Donasi[Nama_Donatur],Data_Donasi[[#This Row],[Nama_Donatur]],Data_Donasi[Nominal])</f>
        <v>36400000</v>
      </c>
    </row>
    <row r="121" spans="1:7" x14ac:dyDescent="0.3">
      <c r="A121" s="14" t="s">
        <v>47</v>
      </c>
      <c r="B121" s="4" t="s">
        <v>147</v>
      </c>
      <c r="C121" s="4" t="s">
        <v>247</v>
      </c>
      <c r="D121" s="9">
        <v>45689</v>
      </c>
      <c r="E121" s="12">
        <v>1000000</v>
      </c>
      <c r="F121" t="str" cm="1">
        <f t="array" ref="F121">_xlfn.IFS(G121&lt;5000000, "Bronze", G121&lt;10000000, "Silver", G121&lt;20000000, "Gold", G121&gt;=20000000, "Diamond")</f>
        <v>Diamond</v>
      </c>
      <c r="G121" s="11">
        <f>SUMIF(Data_Donasi[Nama_Donatur],Data_Donasi[[#This Row],[Nama_Donatur]],Data_Donasi[Nominal])</f>
        <v>45000000</v>
      </c>
    </row>
    <row r="122" spans="1:7" x14ac:dyDescent="0.3">
      <c r="A122" s="14" t="s">
        <v>55</v>
      </c>
      <c r="B122" s="4" t="s">
        <v>155</v>
      </c>
      <c r="C122" s="4" t="s">
        <v>255</v>
      </c>
      <c r="D122" s="9">
        <v>45690</v>
      </c>
      <c r="E122" s="12">
        <v>7000000</v>
      </c>
      <c r="F122" t="str" cm="1">
        <f t="array" ref="F122">_xlfn.IFS(G122&lt;5000000, "Bronze", G122&lt;10000000, "Silver", G122&lt;20000000, "Gold", G122&gt;=20000000, "Diamond")</f>
        <v>Diamond</v>
      </c>
      <c r="G122" s="11">
        <f>SUMIF(Data_Donasi[Nama_Donatur],Data_Donasi[[#This Row],[Nama_Donatur]],Data_Donasi[Nominal])</f>
        <v>50950000</v>
      </c>
    </row>
    <row r="123" spans="1:7" x14ac:dyDescent="0.3">
      <c r="A123" s="14" t="s">
        <v>80</v>
      </c>
      <c r="B123" s="4" t="s">
        <v>180</v>
      </c>
      <c r="C123" s="4" t="s">
        <v>280</v>
      </c>
      <c r="D123" s="9">
        <v>45690</v>
      </c>
      <c r="E123" s="12">
        <v>20000000</v>
      </c>
      <c r="F123" t="str" cm="1">
        <f t="array" ref="F123">_xlfn.IFS(G123&lt;5000000, "Bronze", G123&lt;10000000, "Silver", G123&lt;20000000, "Gold", G123&gt;=20000000, "Diamond")</f>
        <v>Diamond</v>
      </c>
      <c r="G123" s="11">
        <f>SUMIF(Data_Donasi[Nama_Donatur],Data_Donasi[[#This Row],[Nama_Donatur]],Data_Donasi[Nominal])</f>
        <v>57850000</v>
      </c>
    </row>
    <row r="124" spans="1:7" x14ac:dyDescent="0.3">
      <c r="A124" s="14" t="s">
        <v>31</v>
      </c>
      <c r="B124" s="4" t="s">
        <v>131</v>
      </c>
      <c r="C124" s="4" t="s">
        <v>231</v>
      </c>
      <c r="D124" s="9">
        <v>45690</v>
      </c>
      <c r="E124" s="12">
        <v>150000</v>
      </c>
      <c r="F124" t="str" cm="1">
        <f t="array" ref="F124">_xlfn.IFS(G124&lt;5000000, "Bronze", G124&lt;10000000, "Silver", G124&lt;20000000, "Gold", G124&gt;=20000000, "Diamond")</f>
        <v>Diamond</v>
      </c>
      <c r="G124" s="11">
        <f>SUMIF(Data_Donasi[Nama_Donatur],Data_Donasi[[#This Row],[Nama_Donatur]],Data_Donasi[Nominal])</f>
        <v>73400000</v>
      </c>
    </row>
    <row r="125" spans="1:7" x14ac:dyDescent="0.3">
      <c r="A125" s="14" t="s">
        <v>33</v>
      </c>
      <c r="B125" s="4" t="s">
        <v>133</v>
      </c>
      <c r="C125" s="4" t="s">
        <v>233</v>
      </c>
      <c r="D125" s="9">
        <v>45691</v>
      </c>
      <c r="E125" s="12">
        <v>7000000</v>
      </c>
      <c r="F125" t="str" cm="1">
        <f t="array" ref="F125">_xlfn.IFS(G125&lt;5000000, "Bronze", G125&lt;10000000, "Silver", G125&lt;20000000, "Gold", G125&gt;=20000000, "Diamond")</f>
        <v>Diamond</v>
      </c>
      <c r="G125" s="11">
        <f>SUMIF(Data_Donasi[Nama_Donatur],Data_Donasi[[#This Row],[Nama_Donatur]],Data_Donasi[Nominal])</f>
        <v>56850000</v>
      </c>
    </row>
    <row r="126" spans="1:7" x14ac:dyDescent="0.3">
      <c r="A126" s="14" t="s">
        <v>35</v>
      </c>
      <c r="B126" s="4" t="s">
        <v>135</v>
      </c>
      <c r="C126" s="4" t="s">
        <v>235</v>
      </c>
      <c r="D126" s="9">
        <v>45691</v>
      </c>
      <c r="E126" s="12">
        <v>500000</v>
      </c>
      <c r="F126" t="str" cm="1">
        <f t="array" ref="F126">_xlfn.IFS(G126&lt;5000000, "Bronze", G126&lt;10000000, "Silver", G126&lt;20000000, "Gold", G126&gt;=20000000, "Diamond")</f>
        <v>Diamond</v>
      </c>
      <c r="G126" s="11">
        <f>SUMIF(Data_Donasi[Nama_Donatur],Data_Donasi[[#This Row],[Nama_Donatur]],Data_Donasi[Nominal])</f>
        <v>97200000</v>
      </c>
    </row>
    <row r="127" spans="1:7" x14ac:dyDescent="0.3">
      <c r="A127" s="14" t="s">
        <v>31</v>
      </c>
      <c r="B127" s="4" t="s">
        <v>131</v>
      </c>
      <c r="C127" s="4" t="s">
        <v>231</v>
      </c>
      <c r="D127" s="9">
        <v>45691</v>
      </c>
      <c r="E127" s="12">
        <v>3000000</v>
      </c>
      <c r="F127" t="str" cm="1">
        <f t="array" ref="F127">_xlfn.IFS(G127&lt;5000000, "Bronze", G127&lt;10000000, "Silver", G127&lt;20000000, "Gold", G127&gt;=20000000, "Diamond")</f>
        <v>Diamond</v>
      </c>
      <c r="G127" s="11">
        <f>SUMIF(Data_Donasi[Nama_Donatur],Data_Donasi[[#This Row],[Nama_Donatur]],Data_Donasi[Nominal])</f>
        <v>73400000</v>
      </c>
    </row>
    <row r="128" spans="1:7" x14ac:dyDescent="0.3">
      <c r="A128" s="14" t="s">
        <v>88</v>
      </c>
      <c r="B128" s="4" t="s">
        <v>188</v>
      </c>
      <c r="C128" s="4" t="s">
        <v>288</v>
      </c>
      <c r="D128" s="9">
        <v>45691</v>
      </c>
      <c r="E128" s="12">
        <v>20000000</v>
      </c>
      <c r="F128" t="str" cm="1">
        <f t="array" ref="F128">_xlfn.IFS(G128&lt;5000000, "Bronze", G128&lt;10000000, "Silver", G128&lt;20000000, "Gold", G128&gt;=20000000, "Diamond")</f>
        <v>Diamond</v>
      </c>
      <c r="G128" s="11">
        <f>SUMIF(Data_Donasi[Nama_Donatur],Data_Donasi[[#This Row],[Nama_Donatur]],Data_Donasi[Nominal])</f>
        <v>51750000</v>
      </c>
    </row>
    <row r="129" spans="1:7" x14ac:dyDescent="0.3">
      <c r="A129" s="14" t="s">
        <v>101</v>
      </c>
      <c r="B129" s="4" t="s">
        <v>201</v>
      </c>
      <c r="C129" s="4" t="s">
        <v>301</v>
      </c>
      <c r="D129" s="9">
        <v>45692</v>
      </c>
      <c r="E129" s="12">
        <v>500000</v>
      </c>
      <c r="F129" t="str" cm="1">
        <f t="array" ref="F129">_xlfn.IFS(G129&lt;5000000, "Bronze", G129&lt;10000000, "Silver", G129&lt;20000000, "Gold", G129&gt;=20000000, "Diamond")</f>
        <v>Silver</v>
      </c>
      <c r="G129" s="11">
        <f>SUMIF(Data_Donasi[Nama_Donatur],Data_Donasi[[#This Row],[Nama_Donatur]],Data_Donasi[Nominal])</f>
        <v>8650000</v>
      </c>
    </row>
    <row r="130" spans="1:7" x14ac:dyDescent="0.3">
      <c r="A130" s="14" t="s">
        <v>31</v>
      </c>
      <c r="B130" s="4" t="s">
        <v>131</v>
      </c>
      <c r="C130" s="4" t="s">
        <v>231</v>
      </c>
      <c r="D130" s="9">
        <v>45692</v>
      </c>
      <c r="E130" s="12">
        <v>200000</v>
      </c>
      <c r="F130" t="str" cm="1">
        <f t="array" ref="F130">_xlfn.IFS(G130&lt;5000000, "Bronze", G130&lt;10000000, "Silver", G130&lt;20000000, "Gold", G130&gt;=20000000, "Diamond")</f>
        <v>Diamond</v>
      </c>
      <c r="G130" s="11">
        <f>SUMIF(Data_Donasi[Nama_Donatur],Data_Donasi[[#This Row],[Nama_Donatur]],Data_Donasi[Nominal])</f>
        <v>73400000</v>
      </c>
    </row>
    <row r="131" spans="1:7" x14ac:dyDescent="0.3">
      <c r="A131" s="14" t="s">
        <v>97</v>
      </c>
      <c r="B131" s="4" t="s">
        <v>197</v>
      </c>
      <c r="C131" s="4" t="s">
        <v>297</v>
      </c>
      <c r="D131" s="9">
        <v>45692</v>
      </c>
      <c r="E131" s="12">
        <v>20000000</v>
      </c>
      <c r="F131" t="str" cm="1">
        <f t="array" ref="F131">_xlfn.IFS(G131&lt;5000000, "Bronze", G131&lt;10000000, "Silver", G131&lt;20000000, "Gold", G131&gt;=20000000, "Diamond")</f>
        <v>Diamond</v>
      </c>
      <c r="G131" s="11">
        <f>SUMIF(Data_Donasi[Nama_Donatur],Data_Donasi[[#This Row],[Nama_Donatur]],Data_Donasi[Nominal])</f>
        <v>52700000</v>
      </c>
    </row>
    <row r="132" spans="1:7" x14ac:dyDescent="0.3">
      <c r="A132" s="14" t="s">
        <v>17</v>
      </c>
      <c r="B132" s="4" t="s">
        <v>117</v>
      </c>
      <c r="C132" s="4" t="s">
        <v>217</v>
      </c>
      <c r="D132" s="9">
        <v>45692</v>
      </c>
      <c r="E132" s="12">
        <v>100000</v>
      </c>
      <c r="F132" t="str" cm="1">
        <f t="array" ref="F132">_xlfn.IFS(G132&lt;5000000, "Bronze", G132&lt;10000000, "Silver", G132&lt;20000000, "Gold", G132&gt;=20000000, "Diamond")</f>
        <v>Diamond</v>
      </c>
      <c r="G132" s="11">
        <f>SUMIF(Data_Donasi[Nama_Donatur],Data_Donasi[[#This Row],[Nama_Donatur]],Data_Donasi[Nominal])</f>
        <v>86000000</v>
      </c>
    </row>
    <row r="133" spans="1:7" x14ac:dyDescent="0.3">
      <c r="A133" s="14" t="s">
        <v>76</v>
      </c>
      <c r="B133" s="4" t="s">
        <v>176</v>
      </c>
      <c r="C133" s="4" t="s">
        <v>276</v>
      </c>
      <c r="D133" s="9">
        <v>45692</v>
      </c>
      <c r="E133" s="12">
        <v>150000</v>
      </c>
      <c r="F133" t="str" cm="1">
        <f t="array" ref="F133">_xlfn.IFS(G133&lt;5000000, "Bronze", G133&lt;10000000, "Silver", G133&lt;20000000, "Gold", G133&gt;=20000000, "Diamond")</f>
        <v>Diamond</v>
      </c>
      <c r="G133" s="11">
        <f>SUMIF(Data_Donasi[Nama_Donatur],Data_Donasi[[#This Row],[Nama_Donatur]],Data_Donasi[Nominal])</f>
        <v>37400000</v>
      </c>
    </row>
    <row r="134" spans="1:7" x14ac:dyDescent="0.3">
      <c r="A134" s="14" t="s">
        <v>26</v>
      </c>
      <c r="B134" s="4" t="s">
        <v>126</v>
      </c>
      <c r="C134" s="4" t="s">
        <v>226</v>
      </c>
      <c r="D134" s="9">
        <v>45693</v>
      </c>
      <c r="E134" s="12">
        <v>250000</v>
      </c>
      <c r="F134" t="str" cm="1">
        <f t="array" ref="F134">_xlfn.IFS(G134&lt;5000000, "Bronze", G134&lt;10000000, "Silver", G134&lt;20000000, "Gold", G134&gt;=20000000, "Diamond")</f>
        <v>Diamond</v>
      </c>
      <c r="G134" s="11">
        <f>SUMIF(Data_Donasi[Nama_Donatur],Data_Donasi[[#This Row],[Nama_Donatur]],Data_Donasi[Nominal])</f>
        <v>46450000</v>
      </c>
    </row>
    <row r="135" spans="1:7" x14ac:dyDescent="0.3">
      <c r="A135" s="14" t="s">
        <v>48</v>
      </c>
      <c r="B135" s="4" t="s">
        <v>148</v>
      </c>
      <c r="C135" s="4" t="s">
        <v>248</v>
      </c>
      <c r="D135" s="9">
        <v>45694</v>
      </c>
      <c r="E135" s="12">
        <v>500000</v>
      </c>
      <c r="F135" t="str" cm="1">
        <f t="array" ref="F135">_xlfn.IFS(G135&lt;5000000, "Bronze", G135&lt;10000000, "Silver", G135&lt;20000000, "Gold", G135&gt;=20000000, "Diamond")</f>
        <v>Diamond</v>
      </c>
      <c r="G135" s="11">
        <f>SUMIF(Data_Donasi[Nama_Donatur],Data_Donasi[[#This Row],[Nama_Donatur]],Data_Donasi[Nominal])</f>
        <v>41150000</v>
      </c>
    </row>
    <row r="136" spans="1:7" x14ac:dyDescent="0.3">
      <c r="A136" s="14" t="s">
        <v>88</v>
      </c>
      <c r="B136" s="4" t="s">
        <v>188</v>
      </c>
      <c r="C136" s="4" t="s">
        <v>288</v>
      </c>
      <c r="D136" s="9">
        <v>45694</v>
      </c>
      <c r="E136" s="12">
        <v>200000</v>
      </c>
      <c r="F136" t="str" cm="1">
        <f t="array" ref="F136">_xlfn.IFS(G136&lt;5000000, "Bronze", G136&lt;10000000, "Silver", G136&lt;20000000, "Gold", G136&gt;=20000000, "Diamond")</f>
        <v>Diamond</v>
      </c>
      <c r="G136" s="11">
        <f>SUMIF(Data_Donasi[Nama_Donatur],Data_Donasi[[#This Row],[Nama_Donatur]],Data_Donasi[Nominal])</f>
        <v>51750000</v>
      </c>
    </row>
    <row r="137" spans="1:7" x14ac:dyDescent="0.3">
      <c r="A137" s="14" t="s">
        <v>34</v>
      </c>
      <c r="B137" s="4" t="s">
        <v>134</v>
      </c>
      <c r="C137" s="4" t="s">
        <v>234</v>
      </c>
      <c r="D137" s="9">
        <v>45695</v>
      </c>
      <c r="E137" s="12">
        <v>250000</v>
      </c>
      <c r="F137" t="str" cm="1">
        <f t="array" ref="F137">_xlfn.IFS(G137&lt;5000000, "Bronze", G137&lt;10000000, "Silver", G137&lt;20000000, "Gold", G137&gt;=20000000, "Diamond")</f>
        <v>Gold</v>
      </c>
      <c r="G137" s="11">
        <f>SUMIF(Data_Donasi[Nama_Donatur],Data_Donasi[[#This Row],[Nama_Donatur]],Data_Donasi[Nominal])</f>
        <v>18400000</v>
      </c>
    </row>
    <row r="138" spans="1:7" x14ac:dyDescent="0.3">
      <c r="A138" s="14" t="s">
        <v>94</v>
      </c>
      <c r="B138" s="4" t="s">
        <v>194</v>
      </c>
      <c r="C138" s="4" t="s">
        <v>294</v>
      </c>
      <c r="D138" s="9">
        <v>45695</v>
      </c>
      <c r="E138" s="12">
        <v>2000000</v>
      </c>
      <c r="F138" t="str" cm="1">
        <f t="array" ref="F138">_xlfn.IFS(G138&lt;5000000, "Bronze", G138&lt;10000000, "Silver", G138&lt;20000000, "Gold", G138&gt;=20000000, "Diamond")</f>
        <v>Diamond</v>
      </c>
      <c r="G138" s="11">
        <f>SUMIF(Data_Donasi[Nama_Donatur],Data_Donasi[[#This Row],[Nama_Donatur]],Data_Donasi[Nominal])</f>
        <v>26650000</v>
      </c>
    </row>
    <row r="139" spans="1:7" x14ac:dyDescent="0.3">
      <c r="A139" s="14" t="s">
        <v>11</v>
      </c>
      <c r="B139" s="4" t="s">
        <v>111</v>
      </c>
      <c r="C139" s="4" t="s">
        <v>211</v>
      </c>
      <c r="D139" s="9">
        <v>45696</v>
      </c>
      <c r="E139" s="12">
        <v>10000000</v>
      </c>
      <c r="F139" t="str" cm="1">
        <f t="array" ref="F139">_xlfn.IFS(G139&lt;5000000, "Bronze", G139&lt;10000000, "Silver", G139&lt;20000000, "Gold", G139&gt;=20000000, "Diamond")</f>
        <v>Diamond</v>
      </c>
      <c r="G139" s="11">
        <f>SUMIF(Data_Donasi[Nama_Donatur],Data_Donasi[[#This Row],[Nama_Donatur]],Data_Donasi[Nominal])</f>
        <v>26800000</v>
      </c>
    </row>
    <row r="140" spans="1:7" x14ac:dyDescent="0.3">
      <c r="A140" s="14" t="s">
        <v>92</v>
      </c>
      <c r="B140" s="4" t="s">
        <v>192</v>
      </c>
      <c r="C140" s="4" t="s">
        <v>292</v>
      </c>
      <c r="D140" s="9">
        <v>45696</v>
      </c>
      <c r="E140" s="12">
        <v>100000</v>
      </c>
      <c r="F140" t="str" cm="1">
        <f t="array" ref="F140">_xlfn.IFS(G140&lt;5000000, "Bronze", G140&lt;10000000, "Silver", G140&lt;20000000, "Gold", G140&gt;=20000000, "Diamond")</f>
        <v>Diamond</v>
      </c>
      <c r="G140" s="11">
        <f>SUMIF(Data_Donasi[Nama_Donatur],Data_Donasi[[#This Row],[Nama_Donatur]],Data_Donasi[Nominal])</f>
        <v>55700000</v>
      </c>
    </row>
    <row r="141" spans="1:7" x14ac:dyDescent="0.3">
      <c r="A141" s="14" t="s">
        <v>79</v>
      </c>
      <c r="B141" s="4" t="s">
        <v>179</v>
      </c>
      <c r="C141" s="4" t="s">
        <v>279</v>
      </c>
      <c r="D141" s="9">
        <v>45696</v>
      </c>
      <c r="E141" s="12">
        <v>50000</v>
      </c>
      <c r="F141" t="str" cm="1">
        <f t="array" ref="F141">_xlfn.IFS(G141&lt;5000000, "Bronze", G141&lt;10000000, "Silver", G141&lt;20000000, "Gold", G141&gt;=20000000, "Diamond")</f>
        <v>Diamond</v>
      </c>
      <c r="G141" s="11">
        <f>SUMIF(Data_Donasi[Nama_Donatur],Data_Donasi[[#This Row],[Nama_Donatur]],Data_Donasi[Nominal])</f>
        <v>23700000</v>
      </c>
    </row>
    <row r="142" spans="1:7" x14ac:dyDescent="0.3">
      <c r="A142" s="14" t="s">
        <v>30</v>
      </c>
      <c r="B142" s="4" t="s">
        <v>130</v>
      </c>
      <c r="C142" s="4" t="s">
        <v>230</v>
      </c>
      <c r="D142" s="9">
        <v>45696</v>
      </c>
      <c r="E142" s="12">
        <v>20000000</v>
      </c>
      <c r="F142" t="str" cm="1">
        <f t="array" ref="F142">_xlfn.IFS(G142&lt;5000000, "Bronze", G142&lt;10000000, "Silver", G142&lt;20000000, "Gold", G142&gt;=20000000, "Diamond")</f>
        <v>Diamond</v>
      </c>
      <c r="G142" s="11">
        <f>SUMIF(Data_Donasi[Nama_Donatur],Data_Donasi[[#This Row],[Nama_Donatur]],Data_Donasi[Nominal])</f>
        <v>135600000</v>
      </c>
    </row>
    <row r="143" spans="1:7" x14ac:dyDescent="0.3">
      <c r="A143" s="14" t="s">
        <v>104</v>
      </c>
      <c r="B143" s="4" t="s">
        <v>204</v>
      </c>
      <c r="C143" s="4" t="s">
        <v>304</v>
      </c>
      <c r="D143" s="9">
        <v>45696</v>
      </c>
      <c r="E143" s="12">
        <v>2000000</v>
      </c>
      <c r="F143" t="str" cm="1">
        <f t="array" ref="F143">_xlfn.IFS(G143&lt;5000000, "Bronze", G143&lt;10000000, "Silver", G143&lt;20000000, "Gold", G143&gt;=20000000, "Diamond")</f>
        <v>Diamond</v>
      </c>
      <c r="G143" s="11">
        <f>SUMIF(Data_Donasi[Nama_Donatur],Data_Donasi[[#This Row],[Nama_Donatur]],Data_Donasi[Nominal])</f>
        <v>22000000</v>
      </c>
    </row>
    <row r="144" spans="1:7" x14ac:dyDescent="0.3">
      <c r="A144" s="14" t="s">
        <v>26</v>
      </c>
      <c r="B144" s="4" t="s">
        <v>126</v>
      </c>
      <c r="C144" s="4" t="s">
        <v>226</v>
      </c>
      <c r="D144" s="9">
        <v>45696</v>
      </c>
      <c r="E144" s="12">
        <v>150000</v>
      </c>
      <c r="F144" t="str" cm="1">
        <f t="array" ref="F144">_xlfn.IFS(G144&lt;5000000, "Bronze", G144&lt;10000000, "Silver", G144&lt;20000000, "Gold", G144&gt;=20000000, "Diamond")</f>
        <v>Diamond</v>
      </c>
      <c r="G144" s="11">
        <f>SUMIF(Data_Donasi[Nama_Donatur],Data_Donasi[[#This Row],[Nama_Donatur]],Data_Donasi[Nominal])</f>
        <v>46450000</v>
      </c>
    </row>
    <row r="145" spans="1:7" x14ac:dyDescent="0.3">
      <c r="A145" s="14" t="s">
        <v>20</v>
      </c>
      <c r="B145" s="4" t="s">
        <v>120</v>
      </c>
      <c r="C145" s="4" t="s">
        <v>220</v>
      </c>
      <c r="D145" s="9">
        <v>45697</v>
      </c>
      <c r="E145" s="12">
        <v>50000</v>
      </c>
      <c r="F145" t="str" cm="1">
        <f t="array" ref="F145">_xlfn.IFS(G145&lt;5000000, "Bronze", G145&lt;10000000, "Silver", G145&lt;20000000, "Gold", G145&gt;=20000000, "Diamond")</f>
        <v>Diamond</v>
      </c>
      <c r="G145" s="11">
        <f>SUMIF(Data_Donasi[Nama_Donatur],Data_Donasi[[#This Row],[Nama_Donatur]],Data_Donasi[Nominal])</f>
        <v>25800000</v>
      </c>
    </row>
    <row r="146" spans="1:7" x14ac:dyDescent="0.3">
      <c r="A146" s="14" t="s">
        <v>64</v>
      </c>
      <c r="B146" s="4" t="s">
        <v>164</v>
      </c>
      <c r="C146" s="4" t="s">
        <v>264</v>
      </c>
      <c r="D146" s="9">
        <v>45697</v>
      </c>
      <c r="E146" s="12">
        <v>50000</v>
      </c>
      <c r="F146" t="str" cm="1">
        <f t="array" ref="F146">_xlfn.IFS(G146&lt;5000000, "Bronze", G146&lt;10000000, "Silver", G146&lt;20000000, "Gold", G146&gt;=20000000, "Diamond")</f>
        <v>Diamond</v>
      </c>
      <c r="G146" s="11">
        <f>SUMIF(Data_Donasi[Nama_Donatur],Data_Donasi[[#This Row],[Nama_Donatur]],Data_Donasi[Nominal])</f>
        <v>27750000</v>
      </c>
    </row>
    <row r="147" spans="1:7" x14ac:dyDescent="0.3">
      <c r="A147" s="14" t="s">
        <v>87</v>
      </c>
      <c r="B147" s="4" t="s">
        <v>187</v>
      </c>
      <c r="C147" s="4" t="s">
        <v>287</v>
      </c>
      <c r="D147" s="9">
        <v>45698</v>
      </c>
      <c r="E147" s="12">
        <v>5000000</v>
      </c>
      <c r="F147" t="str" cm="1">
        <f t="array" ref="F147">_xlfn.IFS(G147&lt;5000000, "Bronze", G147&lt;10000000, "Silver", G147&lt;20000000, "Gold", G147&gt;=20000000, "Diamond")</f>
        <v>Diamond</v>
      </c>
      <c r="G147" s="11">
        <f>SUMIF(Data_Donasi[Nama_Donatur],Data_Donasi[[#This Row],[Nama_Donatur]],Data_Donasi[Nominal])</f>
        <v>26100000</v>
      </c>
    </row>
    <row r="148" spans="1:7" x14ac:dyDescent="0.3">
      <c r="A148" s="14" t="s">
        <v>88</v>
      </c>
      <c r="B148" s="4" t="s">
        <v>188</v>
      </c>
      <c r="C148" s="4" t="s">
        <v>288</v>
      </c>
      <c r="D148" s="9">
        <v>45698</v>
      </c>
      <c r="E148" s="12">
        <v>7000000</v>
      </c>
      <c r="F148" t="str" cm="1">
        <f t="array" ref="F148">_xlfn.IFS(G148&lt;5000000, "Bronze", G148&lt;10000000, "Silver", G148&lt;20000000, "Gold", G148&gt;=20000000, "Diamond")</f>
        <v>Diamond</v>
      </c>
      <c r="G148" s="11">
        <f>SUMIF(Data_Donasi[Nama_Donatur],Data_Donasi[[#This Row],[Nama_Donatur]],Data_Donasi[Nominal])</f>
        <v>51750000</v>
      </c>
    </row>
    <row r="149" spans="1:7" x14ac:dyDescent="0.3">
      <c r="A149" s="14" t="s">
        <v>42</v>
      </c>
      <c r="B149" s="4" t="s">
        <v>142</v>
      </c>
      <c r="C149" s="4" t="s">
        <v>242</v>
      </c>
      <c r="D149" s="9">
        <v>45698</v>
      </c>
      <c r="E149" s="12">
        <v>150000</v>
      </c>
      <c r="F149" t="str" cm="1">
        <f t="array" ref="F149">_xlfn.IFS(G149&lt;5000000, "Bronze", G149&lt;10000000, "Silver", G149&lt;20000000, "Gold", G149&gt;=20000000, "Diamond")</f>
        <v>Diamond</v>
      </c>
      <c r="G149" s="11">
        <f>SUMIF(Data_Donasi[Nama_Donatur],Data_Donasi[[#This Row],[Nama_Donatur]],Data_Donasi[Nominal])</f>
        <v>42100000</v>
      </c>
    </row>
    <row r="150" spans="1:7" x14ac:dyDescent="0.3">
      <c r="A150" s="14" t="s">
        <v>36</v>
      </c>
      <c r="B150" s="4" t="s">
        <v>136</v>
      </c>
      <c r="C150" s="4" t="s">
        <v>236</v>
      </c>
      <c r="D150" s="9">
        <v>45698</v>
      </c>
      <c r="E150" s="12">
        <v>150000</v>
      </c>
      <c r="F150" t="str" cm="1">
        <f t="array" ref="F150">_xlfn.IFS(G150&lt;5000000, "Bronze", G150&lt;10000000, "Silver", G150&lt;20000000, "Gold", G150&gt;=20000000, "Diamond")</f>
        <v>Diamond</v>
      </c>
      <c r="G150" s="11">
        <f>SUMIF(Data_Donasi[Nama_Donatur],Data_Donasi[[#This Row],[Nama_Donatur]],Data_Donasi[Nominal])</f>
        <v>25500000</v>
      </c>
    </row>
    <row r="151" spans="1:7" x14ac:dyDescent="0.3">
      <c r="A151" s="14" t="s">
        <v>93</v>
      </c>
      <c r="B151" s="4" t="s">
        <v>193</v>
      </c>
      <c r="C151" s="4" t="s">
        <v>293</v>
      </c>
      <c r="D151" s="9">
        <v>45699</v>
      </c>
      <c r="E151" s="12">
        <v>3000000</v>
      </c>
      <c r="F151" t="str" cm="1">
        <f t="array" ref="F151">_xlfn.IFS(G151&lt;5000000, "Bronze", G151&lt;10000000, "Silver", G151&lt;20000000, "Gold", G151&gt;=20000000, "Diamond")</f>
        <v>Gold</v>
      </c>
      <c r="G151" s="11">
        <f>SUMIF(Data_Donasi[Nama_Donatur],Data_Donasi[[#This Row],[Nama_Donatur]],Data_Donasi[Nominal])</f>
        <v>19400000</v>
      </c>
    </row>
    <row r="152" spans="1:7" x14ac:dyDescent="0.3">
      <c r="A152" s="14" t="s">
        <v>15</v>
      </c>
      <c r="B152" s="4" t="s">
        <v>115</v>
      </c>
      <c r="C152" s="4" t="s">
        <v>215</v>
      </c>
      <c r="D152" s="9">
        <v>45699</v>
      </c>
      <c r="E152" s="12">
        <v>10000000</v>
      </c>
      <c r="F152" t="str" cm="1">
        <f t="array" ref="F152">_xlfn.IFS(G152&lt;5000000, "Bronze", G152&lt;10000000, "Silver", G152&lt;20000000, "Gold", G152&gt;=20000000, "Diamond")</f>
        <v>Diamond</v>
      </c>
      <c r="G152" s="11">
        <f>SUMIF(Data_Donasi[Nama_Donatur],Data_Donasi[[#This Row],[Nama_Donatur]],Data_Donasi[Nominal])</f>
        <v>84750000</v>
      </c>
    </row>
    <row r="153" spans="1:7" x14ac:dyDescent="0.3">
      <c r="A153" s="14" t="s">
        <v>73</v>
      </c>
      <c r="B153" s="4" t="s">
        <v>173</v>
      </c>
      <c r="C153" s="4" t="s">
        <v>273</v>
      </c>
      <c r="D153" s="9">
        <v>45699</v>
      </c>
      <c r="E153" s="12">
        <v>20000000</v>
      </c>
      <c r="F153" t="str" cm="1">
        <f t="array" ref="F153">_xlfn.IFS(G153&lt;5000000, "Bronze", G153&lt;10000000, "Silver", G153&lt;20000000, "Gold", G153&gt;=20000000, "Diamond")</f>
        <v>Diamond</v>
      </c>
      <c r="G153" s="11">
        <f>SUMIF(Data_Donasi[Nama_Donatur],Data_Donasi[[#This Row],[Nama_Donatur]],Data_Donasi[Nominal])</f>
        <v>28750000</v>
      </c>
    </row>
    <row r="154" spans="1:7" x14ac:dyDescent="0.3">
      <c r="A154" s="14" t="s">
        <v>98</v>
      </c>
      <c r="B154" s="4" t="s">
        <v>198</v>
      </c>
      <c r="C154" s="4" t="s">
        <v>298</v>
      </c>
      <c r="D154" s="9">
        <v>45699</v>
      </c>
      <c r="E154" s="12">
        <v>5000000</v>
      </c>
      <c r="F154" t="str" cm="1">
        <f t="array" ref="F154">_xlfn.IFS(G154&lt;5000000, "Bronze", G154&lt;10000000, "Silver", G154&lt;20000000, "Gold", G154&gt;=20000000, "Diamond")</f>
        <v>Diamond</v>
      </c>
      <c r="G154" s="11">
        <f>SUMIF(Data_Donasi[Nama_Donatur],Data_Donasi[[#This Row],[Nama_Donatur]],Data_Donasi[Nominal])</f>
        <v>36400000</v>
      </c>
    </row>
    <row r="155" spans="1:7" x14ac:dyDescent="0.3">
      <c r="A155" s="14" t="s">
        <v>30</v>
      </c>
      <c r="B155" s="4" t="s">
        <v>130</v>
      </c>
      <c r="C155" s="4" t="s">
        <v>230</v>
      </c>
      <c r="D155" s="9">
        <v>45700</v>
      </c>
      <c r="E155" s="12">
        <v>10000000</v>
      </c>
      <c r="F155" t="str" cm="1">
        <f t="array" ref="F155">_xlfn.IFS(G155&lt;5000000, "Bronze", G155&lt;10000000, "Silver", G155&lt;20000000, "Gold", G155&gt;=20000000, "Diamond")</f>
        <v>Diamond</v>
      </c>
      <c r="G155" s="11">
        <f>SUMIF(Data_Donasi[Nama_Donatur],Data_Donasi[[#This Row],[Nama_Donatur]],Data_Donasi[Nominal])</f>
        <v>135600000</v>
      </c>
    </row>
    <row r="156" spans="1:7" x14ac:dyDescent="0.3">
      <c r="A156" s="14" t="s">
        <v>38</v>
      </c>
      <c r="B156" s="4" t="s">
        <v>138</v>
      </c>
      <c r="C156" s="4" t="s">
        <v>238</v>
      </c>
      <c r="D156" s="9">
        <v>45700</v>
      </c>
      <c r="E156" s="12">
        <v>100000</v>
      </c>
      <c r="F156" t="str" cm="1">
        <f t="array" ref="F156">_xlfn.IFS(G156&lt;5000000, "Bronze", G156&lt;10000000, "Silver", G156&lt;20000000, "Gold", G156&gt;=20000000, "Diamond")</f>
        <v>Diamond</v>
      </c>
      <c r="G156" s="11">
        <f>SUMIF(Data_Donasi[Nama_Donatur],Data_Donasi[[#This Row],[Nama_Donatur]],Data_Donasi[Nominal])</f>
        <v>35400000</v>
      </c>
    </row>
    <row r="157" spans="1:7" x14ac:dyDescent="0.3">
      <c r="A157" s="14" t="s">
        <v>60</v>
      </c>
      <c r="B157" s="4" t="s">
        <v>160</v>
      </c>
      <c r="C157" s="4" t="s">
        <v>260</v>
      </c>
      <c r="D157" s="9">
        <v>45700</v>
      </c>
      <c r="E157" s="12">
        <v>200000</v>
      </c>
      <c r="F157" t="str" cm="1">
        <f t="array" ref="F157">_xlfn.IFS(G157&lt;5000000, "Bronze", G157&lt;10000000, "Silver", G157&lt;20000000, "Gold", G157&gt;=20000000, "Diamond")</f>
        <v>Silver</v>
      </c>
      <c r="G157" s="11">
        <f>SUMIF(Data_Donasi[Nama_Donatur],Data_Donasi[[#This Row],[Nama_Donatur]],Data_Donasi[Nominal])</f>
        <v>9150000</v>
      </c>
    </row>
    <row r="158" spans="1:7" x14ac:dyDescent="0.3">
      <c r="A158" s="14" t="s">
        <v>74</v>
      </c>
      <c r="B158" s="4" t="s">
        <v>174</v>
      </c>
      <c r="C158" s="4" t="s">
        <v>274</v>
      </c>
      <c r="D158" s="9">
        <v>45700</v>
      </c>
      <c r="E158" s="12">
        <v>10000000</v>
      </c>
      <c r="F158" t="str" cm="1">
        <f t="array" ref="F158">_xlfn.IFS(G158&lt;5000000, "Bronze", G158&lt;10000000, "Silver", G158&lt;20000000, "Gold", G158&gt;=20000000, "Diamond")</f>
        <v>Diamond</v>
      </c>
      <c r="G158" s="11">
        <f>SUMIF(Data_Donasi[Nama_Donatur],Data_Donasi[[#This Row],[Nama_Donatur]],Data_Donasi[Nominal])</f>
        <v>57450000</v>
      </c>
    </row>
    <row r="159" spans="1:7" x14ac:dyDescent="0.3">
      <c r="A159" s="14" t="s">
        <v>17</v>
      </c>
      <c r="B159" s="4" t="s">
        <v>117</v>
      </c>
      <c r="C159" s="4" t="s">
        <v>217</v>
      </c>
      <c r="D159" s="9">
        <v>45700</v>
      </c>
      <c r="E159" s="12">
        <v>7000000</v>
      </c>
      <c r="F159" t="str" cm="1">
        <f t="array" ref="F159">_xlfn.IFS(G159&lt;5000000, "Bronze", G159&lt;10000000, "Silver", G159&lt;20000000, "Gold", G159&gt;=20000000, "Diamond")</f>
        <v>Diamond</v>
      </c>
      <c r="G159" s="11">
        <f>SUMIF(Data_Donasi[Nama_Donatur],Data_Donasi[[#This Row],[Nama_Donatur]],Data_Donasi[Nominal])</f>
        <v>86000000</v>
      </c>
    </row>
    <row r="160" spans="1:7" x14ac:dyDescent="0.3">
      <c r="A160" s="14" t="s">
        <v>35</v>
      </c>
      <c r="B160" s="4" t="s">
        <v>135</v>
      </c>
      <c r="C160" s="4" t="s">
        <v>235</v>
      </c>
      <c r="D160" s="9">
        <v>45700</v>
      </c>
      <c r="E160" s="12">
        <v>250000</v>
      </c>
      <c r="F160" t="str" cm="1">
        <f t="array" ref="F160">_xlfn.IFS(G160&lt;5000000, "Bronze", G160&lt;10000000, "Silver", G160&lt;20000000, "Gold", G160&gt;=20000000, "Diamond")</f>
        <v>Diamond</v>
      </c>
      <c r="G160" s="11">
        <f>SUMIF(Data_Donasi[Nama_Donatur],Data_Donasi[[#This Row],[Nama_Donatur]],Data_Donasi[Nominal])</f>
        <v>97200000</v>
      </c>
    </row>
    <row r="161" spans="1:7" x14ac:dyDescent="0.3">
      <c r="A161" s="14" t="s">
        <v>8</v>
      </c>
      <c r="B161" s="4" t="s">
        <v>108</v>
      </c>
      <c r="C161" s="4" t="s">
        <v>208</v>
      </c>
      <c r="D161" s="9">
        <v>45701</v>
      </c>
      <c r="E161" s="12">
        <v>150000</v>
      </c>
      <c r="F161" t="str" cm="1">
        <f t="array" ref="F161">_xlfn.IFS(G161&lt;5000000, "Bronze", G161&lt;10000000, "Silver", G161&lt;20000000, "Gold", G161&gt;=20000000, "Diamond")</f>
        <v>Diamond</v>
      </c>
      <c r="G161" s="11">
        <f>SUMIF(Data_Donasi[Nama_Donatur],Data_Donasi[[#This Row],[Nama_Donatur]],Data_Donasi[Nominal])</f>
        <v>31750000</v>
      </c>
    </row>
    <row r="162" spans="1:7" x14ac:dyDescent="0.3">
      <c r="A162" s="14" t="s">
        <v>52</v>
      </c>
      <c r="B162" s="4" t="s">
        <v>152</v>
      </c>
      <c r="C162" s="4" t="s">
        <v>252</v>
      </c>
      <c r="D162" s="9">
        <v>45701</v>
      </c>
      <c r="E162" s="12">
        <v>7000000</v>
      </c>
      <c r="F162" t="str" cm="1">
        <f t="array" ref="F162">_xlfn.IFS(G162&lt;5000000, "Bronze", G162&lt;10000000, "Silver", G162&lt;20000000, "Gold", G162&gt;=20000000, "Diamond")</f>
        <v>Gold</v>
      </c>
      <c r="G162" s="11">
        <f>SUMIF(Data_Donasi[Nama_Donatur],Data_Donasi[[#This Row],[Nama_Donatur]],Data_Donasi[Nominal])</f>
        <v>14000000</v>
      </c>
    </row>
    <row r="163" spans="1:7" x14ac:dyDescent="0.3">
      <c r="A163" s="14" t="s">
        <v>22</v>
      </c>
      <c r="B163" s="4" t="s">
        <v>122</v>
      </c>
      <c r="C163" s="4" t="s">
        <v>222</v>
      </c>
      <c r="D163" s="9">
        <v>45701</v>
      </c>
      <c r="E163" s="12">
        <v>10000000</v>
      </c>
      <c r="F163" t="str" cm="1">
        <f t="array" ref="F163">_xlfn.IFS(G163&lt;5000000, "Bronze", G163&lt;10000000, "Silver", G163&lt;20000000, "Gold", G163&gt;=20000000, "Diamond")</f>
        <v>Diamond</v>
      </c>
      <c r="G163" s="11">
        <f>SUMIF(Data_Donasi[Nama_Donatur],Data_Donasi[[#This Row],[Nama_Donatur]],Data_Donasi[Nominal])</f>
        <v>67900000</v>
      </c>
    </row>
    <row r="164" spans="1:7" x14ac:dyDescent="0.3">
      <c r="A164" s="14" t="s">
        <v>29</v>
      </c>
      <c r="B164" s="4" t="s">
        <v>129</v>
      </c>
      <c r="C164" s="4" t="s">
        <v>229</v>
      </c>
      <c r="D164" s="9">
        <v>45702</v>
      </c>
      <c r="E164" s="12">
        <v>10000000</v>
      </c>
      <c r="F164" t="str" cm="1">
        <f t="array" ref="F164">_xlfn.IFS(G164&lt;5000000, "Bronze", G164&lt;10000000, "Silver", G164&lt;20000000, "Gold", G164&gt;=20000000, "Diamond")</f>
        <v>Diamond</v>
      </c>
      <c r="G164" s="11">
        <f>SUMIF(Data_Donasi[Nama_Donatur],Data_Donasi[[#This Row],[Nama_Donatur]],Data_Donasi[Nominal])</f>
        <v>30400000</v>
      </c>
    </row>
    <row r="165" spans="1:7" x14ac:dyDescent="0.3">
      <c r="A165" s="14" t="s">
        <v>82</v>
      </c>
      <c r="B165" s="4" t="s">
        <v>182</v>
      </c>
      <c r="C165" s="4" t="s">
        <v>282</v>
      </c>
      <c r="D165" s="9">
        <v>45702</v>
      </c>
      <c r="E165" s="12">
        <v>250000</v>
      </c>
      <c r="F165" t="str" cm="1">
        <f t="array" ref="F165">_xlfn.IFS(G165&lt;5000000, "Bronze", G165&lt;10000000, "Silver", G165&lt;20000000, "Gold", G165&gt;=20000000, "Diamond")</f>
        <v>Diamond</v>
      </c>
      <c r="G165" s="11">
        <f>SUMIF(Data_Donasi[Nama_Donatur],Data_Donasi[[#This Row],[Nama_Donatur]],Data_Donasi[Nominal])</f>
        <v>63700000</v>
      </c>
    </row>
    <row r="166" spans="1:7" x14ac:dyDescent="0.3">
      <c r="A166" s="14" t="s">
        <v>96</v>
      </c>
      <c r="B166" s="4" t="s">
        <v>196</v>
      </c>
      <c r="C166" s="4" t="s">
        <v>296</v>
      </c>
      <c r="D166" s="9">
        <v>45702</v>
      </c>
      <c r="E166" s="12">
        <v>200000</v>
      </c>
      <c r="F166" t="str" cm="1">
        <f t="array" ref="F166">_xlfn.IFS(G166&lt;5000000, "Bronze", G166&lt;10000000, "Silver", G166&lt;20000000, "Gold", G166&gt;=20000000, "Diamond")</f>
        <v>Diamond</v>
      </c>
      <c r="G166" s="11">
        <f>SUMIF(Data_Donasi[Nama_Donatur],Data_Donasi[[#This Row],[Nama_Donatur]],Data_Donasi[Nominal])</f>
        <v>24200000</v>
      </c>
    </row>
    <row r="167" spans="1:7" x14ac:dyDescent="0.3">
      <c r="A167" s="14" t="s">
        <v>47</v>
      </c>
      <c r="B167" s="4" t="s">
        <v>147</v>
      </c>
      <c r="C167" s="4" t="s">
        <v>247</v>
      </c>
      <c r="D167" s="9">
        <v>45702</v>
      </c>
      <c r="E167" s="12">
        <v>150000</v>
      </c>
      <c r="F167" t="str" cm="1">
        <f t="array" ref="F167">_xlfn.IFS(G167&lt;5000000, "Bronze", G167&lt;10000000, "Silver", G167&lt;20000000, "Gold", G167&gt;=20000000, "Diamond")</f>
        <v>Diamond</v>
      </c>
      <c r="G167" s="11">
        <f>SUMIF(Data_Donasi[Nama_Donatur],Data_Donasi[[#This Row],[Nama_Donatur]],Data_Donasi[Nominal])</f>
        <v>45000000</v>
      </c>
    </row>
    <row r="168" spans="1:7" x14ac:dyDescent="0.3">
      <c r="A168" s="14" t="s">
        <v>56</v>
      </c>
      <c r="B168" s="4" t="s">
        <v>156</v>
      </c>
      <c r="C168" s="4" t="s">
        <v>256</v>
      </c>
      <c r="D168" s="9">
        <v>45702</v>
      </c>
      <c r="E168" s="12">
        <v>10000000</v>
      </c>
      <c r="F168" t="str" cm="1">
        <f t="array" ref="F168">_xlfn.IFS(G168&lt;5000000, "Bronze", G168&lt;10000000, "Silver", G168&lt;20000000, "Gold", G168&gt;=20000000, "Diamond")</f>
        <v>Diamond</v>
      </c>
      <c r="G168" s="11">
        <f>SUMIF(Data_Donasi[Nama_Donatur],Data_Donasi[[#This Row],[Nama_Donatur]],Data_Donasi[Nominal])</f>
        <v>49000000</v>
      </c>
    </row>
    <row r="169" spans="1:7" x14ac:dyDescent="0.3">
      <c r="A169" s="14" t="s">
        <v>62</v>
      </c>
      <c r="B169" s="4" t="s">
        <v>162</v>
      </c>
      <c r="C169" s="4" t="s">
        <v>262</v>
      </c>
      <c r="D169" s="9">
        <v>45702</v>
      </c>
      <c r="E169" s="12">
        <v>200000</v>
      </c>
      <c r="F169" t="str" cm="1">
        <f t="array" ref="F169">_xlfn.IFS(G169&lt;5000000, "Bronze", G169&lt;10000000, "Silver", G169&lt;20000000, "Gold", G169&gt;=20000000, "Diamond")</f>
        <v>Silver</v>
      </c>
      <c r="G169" s="11">
        <f>SUMIF(Data_Donasi[Nama_Donatur],Data_Donasi[[#This Row],[Nama_Donatur]],Data_Donasi[Nominal])</f>
        <v>7850000</v>
      </c>
    </row>
    <row r="170" spans="1:7" x14ac:dyDescent="0.3">
      <c r="A170" s="14" t="s">
        <v>33</v>
      </c>
      <c r="B170" s="4" t="s">
        <v>133</v>
      </c>
      <c r="C170" s="4" t="s">
        <v>233</v>
      </c>
      <c r="D170" s="9">
        <v>45703</v>
      </c>
      <c r="E170" s="12">
        <v>500000</v>
      </c>
      <c r="F170" t="str" cm="1">
        <f t="array" ref="F170">_xlfn.IFS(G170&lt;5000000, "Bronze", G170&lt;10000000, "Silver", G170&lt;20000000, "Gold", G170&gt;=20000000, "Diamond")</f>
        <v>Diamond</v>
      </c>
      <c r="G170" s="11">
        <f>SUMIF(Data_Donasi[Nama_Donatur],Data_Donasi[[#This Row],[Nama_Donatur]],Data_Donasi[Nominal])</f>
        <v>56850000</v>
      </c>
    </row>
    <row r="171" spans="1:7" x14ac:dyDescent="0.3">
      <c r="A171" s="14" t="s">
        <v>36</v>
      </c>
      <c r="B171" s="4" t="s">
        <v>136</v>
      </c>
      <c r="C171" s="4" t="s">
        <v>236</v>
      </c>
      <c r="D171" s="9">
        <v>45704</v>
      </c>
      <c r="E171" s="12">
        <v>200000</v>
      </c>
      <c r="F171" t="str" cm="1">
        <f t="array" ref="F171">_xlfn.IFS(G171&lt;5000000, "Bronze", G171&lt;10000000, "Silver", G171&lt;20000000, "Gold", G171&gt;=20000000, "Diamond")</f>
        <v>Diamond</v>
      </c>
      <c r="G171" s="11">
        <f>SUMIF(Data_Donasi[Nama_Donatur],Data_Donasi[[#This Row],[Nama_Donatur]],Data_Donasi[Nominal])</f>
        <v>25500000</v>
      </c>
    </row>
    <row r="172" spans="1:7" x14ac:dyDescent="0.3">
      <c r="A172" s="14" t="s">
        <v>27</v>
      </c>
      <c r="B172" s="4" t="s">
        <v>127</v>
      </c>
      <c r="C172" s="4" t="s">
        <v>227</v>
      </c>
      <c r="D172" s="9">
        <v>45705</v>
      </c>
      <c r="E172" s="12">
        <v>100000</v>
      </c>
      <c r="F172" t="str" cm="1">
        <f t="array" ref="F172">_xlfn.IFS(G172&lt;5000000, "Bronze", G172&lt;10000000, "Silver", G172&lt;20000000, "Gold", G172&gt;=20000000, "Diamond")</f>
        <v>Diamond</v>
      </c>
      <c r="G172" s="11">
        <f>SUMIF(Data_Donasi[Nama_Donatur],Data_Donasi[[#This Row],[Nama_Donatur]],Data_Donasi[Nominal])</f>
        <v>29050000</v>
      </c>
    </row>
    <row r="173" spans="1:7" x14ac:dyDescent="0.3">
      <c r="A173" s="14" t="s">
        <v>14</v>
      </c>
      <c r="B173" s="4" t="s">
        <v>114</v>
      </c>
      <c r="C173" s="4" t="s">
        <v>214</v>
      </c>
      <c r="D173" s="9">
        <v>45705</v>
      </c>
      <c r="E173" s="12">
        <v>10000000</v>
      </c>
      <c r="F173" t="str" cm="1">
        <f t="array" ref="F173">_xlfn.IFS(G173&lt;5000000, "Bronze", G173&lt;10000000, "Silver", G173&lt;20000000, "Gold", G173&gt;=20000000, "Diamond")</f>
        <v>Diamond</v>
      </c>
      <c r="G173" s="11">
        <f>SUMIF(Data_Donasi[Nama_Donatur],Data_Donasi[[#This Row],[Nama_Donatur]],Data_Donasi[Nominal])</f>
        <v>73750000</v>
      </c>
    </row>
    <row r="174" spans="1:7" x14ac:dyDescent="0.3">
      <c r="A174" s="14" t="s">
        <v>77</v>
      </c>
      <c r="B174" s="4" t="s">
        <v>177</v>
      </c>
      <c r="C174" s="4" t="s">
        <v>277</v>
      </c>
      <c r="D174" s="9">
        <v>45705</v>
      </c>
      <c r="E174" s="12">
        <v>250000</v>
      </c>
      <c r="F174" t="str" cm="1">
        <f t="array" ref="F174">_xlfn.IFS(G174&lt;5000000, "Bronze", G174&lt;10000000, "Silver", G174&lt;20000000, "Gold", G174&gt;=20000000, "Diamond")</f>
        <v>Diamond</v>
      </c>
      <c r="G174" s="11">
        <f>SUMIF(Data_Donasi[Nama_Donatur],Data_Donasi[[#This Row],[Nama_Donatur]],Data_Donasi[Nominal])</f>
        <v>47350000</v>
      </c>
    </row>
    <row r="175" spans="1:7" x14ac:dyDescent="0.3">
      <c r="A175" s="14" t="s">
        <v>28</v>
      </c>
      <c r="B175" s="4" t="s">
        <v>128</v>
      </c>
      <c r="C175" s="4" t="s">
        <v>228</v>
      </c>
      <c r="D175" s="9">
        <v>45705</v>
      </c>
      <c r="E175" s="12">
        <v>2000000</v>
      </c>
      <c r="F175" t="str" cm="1">
        <f t="array" ref="F175">_xlfn.IFS(G175&lt;5000000, "Bronze", G175&lt;10000000, "Silver", G175&lt;20000000, "Gold", G175&gt;=20000000, "Diamond")</f>
        <v>Diamond</v>
      </c>
      <c r="G175" s="11">
        <f>SUMIF(Data_Donasi[Nama_Donatur],Data_Donasi[[#This Row],[Nama_Donatur]],Data_Donasi[Nominal])</f>
        <v>26900000</v>
      </c>
    </row>
    <row r="176" spans="1:7" x14ac:dyDescent="0.3">
      <c r="A176" s="14" t="s">
        <v>65</v>
      </c>
      <c r="B176" s="4" t="s">
        <v>165</v>
      </c>
      <c r="C176" s="4" t="s">
        <v>265</v>
      </c>
      <c r="D176" s="9">
        <v>45706</v>
      </c>
      <c r="E176" s="12">
        <v>500000</v>
      </c>
      <c r="F176" t="str" cm="1">
        <f t="array" ref="F176">_xlfn.IFS(G176&lt;5000000, "Bronze", G176&lt;10000000, "Silver", G176&lt;20000000, "Gold", G176&gt;=20000000, "Diamond")</f>
        <v>Diamond</v>
      </c>
      <c r="G176" s="11">
        <f>SUMIF(Data_Donasi[Nama_Donatur],Data_Donasi[[#This Row],[Nama_Donatur]],Data_Donasi[Nominal])</f>
        <v>40750000</v>
      </c>
    </row>
    <row r="177" spans="1:7" x14ac:dyDescent="0.3">
      <c r="A177" s="14" t="s">
        <v>16</v>
      </c>
      <c r="B177" s="4" t="s">
        <v>116</v>
      </c>
      <c r="C177" s="4" t="s">
        <v>216</v>
      </c>
      <c r="D177" s="9">
        <v>45706</v>
      </c>
      <c r="E177" s="12">
        <v>100000</v>
      </c>
      <c r="F177" t="str" cm="1">
        <f t="array" ref="F177">_xlfn.IFS(G177&lt;5000000, "Bronze", G177&lt;10000000, "Silver", G177&lt;20000000, "Gold", G177&gt;=20000000, "Diamond")</f>
        <v>Diamond</v>
      </c>
      <c r="G177" s="11">
        <f>SUMIF(Data_Donasi[Nama_Donatur],Data_Donasi[[#This Row],[Nama_Donatur]],Data_Donasi[Nominal])</f>
        <v>48350000</v>
      </c>
    </row>
    <row r="178" spans="1:7" x14ac:dyDescent="0.3">
      <c r="A178" s="14" t="s">
        <v>60</v>
      </c>
      <c r="B178" s="4" t="s">
        <v>160</v>
      </c>
      <c r="C178" s="4" t="s">
        <v>260</v>
      </c>
      <c r="D178" s="9">
        <v>45706</v>
      </c>
      <c r="E178" s="12">
        <v>150000</v>
      </c>
      <c r="F178" t="str" cm="1">
        <f t="array" ref="F178">_xlfn.IFS(G178&lt;5000000, "Bronze", G178&lt;10000000, "Silver", G178&lt;20000000, "Gold", G178&gt;=20000000, "Diamond")</f>
        <v>Silver</v>
      </c>
      <c r="G178" s="11">
        <f>SUMIF(Data_Donasi[Nama_Donatur],Data_Donasi[[#This Row],[Nama_Donatur]],Data_Donasi[Nominal])</f>
        <v>9150000</v>
      </c>
    </row>
    <row r="179" spans="1:7" x14ac:dyDescent="0.3">
      <c r="A179" s="14" t="s">
        <v>91</v>
      </c>
      <c r="B179" s="4" t="s">
        <v>191</v>
      </c>
      <c r="C179" s="4" t="s">
        <v>291</v>
      </c>
      <c r="D179" s="9">
        <v>45706</v>
      </c>
      <c r="E179" s="12">
        <v>100000</v>
      </c>
      <c r="F179" t="str" cm="1">
        <f t="array" ref="F179">_xlfn.IFS(G179&lt;5000000, "Bronze", G179&lt;10000000, "Silver", G179&lt;20000000, "Gold", G179&gt;=20000000, "Diamond")</f>
        <v>Diamond</v>
      </c>
      <c r="G179" s="11">
        <f>SUMIF(Data_Donasi[Nama_Donatur],Data_Donasi[[#This Row],[Nama_Donatur]],Data_Donasi[Nominal])</f>
        <v>40950000</v>
      </c>
    </row>
    <row r="180" spans="1:7" x14ac:dyDescent="0.3">
      <c r="A180" s="14" t="s">
        <v>64</v>
      </c>
      <c r="B180" s="4" t="s">
        <v>164</v>
      </c>
      <c r="C180" s="4" t="s">
        <v>264</v>
      </c>
      <c r="D180" s="9">
        <v>45706</v>
      </c>
      <c r="E180" s="12">
        <v>50000</v>
      </c>
      <c r="F180" t="str" cm="1">
        <f t="array" ref="F180">_xlfn.IFS(G180&lt;5000000, "Bronze", G180&lt;10000000, "Silver", G180&lt;20000000, "Gold", G180&gt;=20000000, "Diamond")</f>
        <v>Diamond</v>
      </c>
      <c r="G180" s="11">
        <f>SUMIF(Data_Donasi[Nama_Donatur],Data_Donasi[[#This Row],[Nama_Donatur]],Data_Donasi[Nominal])</f>
        <v>27750000</v>
      </c>
    </row>
    <row r="181" spans="1:7" x14ac:dyDescent="0.3">
      <c r="A181" s="14" t="s">
        <v>103</v>
      </c>
      <c r="B181" s="4" t="s">
        <v>203</v>
      </c>
      <c r="C181" s="4" t="s">
        <v>303</v>
      </c>
      <c r="D181" s="9">
        <v>45706</v>
      </c>
      <c r="E181" s="12">
        <v>5000000</v>
      </c>
      <c r="F181" t="str" cm="1">
        <f t="array" ref="F181">_xlfn.IFS(G181&lt;5000000, "Bronze", G181&lt;10000000, "Silver", G181&lt;20000000, "Gold", G181&gt;=20000000, "Diamond")</f>
        <v>Diamond</v>
      </c>
      <c r="G181" s="11">
        <f>SUMIF(Data_Donasi[Nama_Donatur],Data_Donasi[[#This Row],[Nama_Donatur]],Data_Donasi[Nominal])</f>
        <v>50550000</v>
      </c>
    </row>
    <row r="182" spans="1:7" x14ac:dyDescent="0.3">
      <c r="A182" s="14" t="s">
        <v>36</v>
      </c>
      <c r="B182" s="4" t="s">
        <v>136</v>
      </c>
      <c r="C182" s="4" t="s">
        <v>236</v>
      </c>
      <c r="D182" s="9">
        <v>45706</v>
      </c>
      <c r="E182" s="12">
        <v>2000000</v>
      </c>
      <c r="F182" t="str" cm="1">
        <f t="array" ref="F182">_xlfn.IFS(G182&lt;5000000, "Bronze", G182&lt;10000000, "Silver", G182&lt;20000000, "Gold", G182&gt;=20000000, "Diamond")</f>
        <v>Diamond</v>
      </c>
      <c r="G182" s="11">
        <f>SUMIF(Data_Donasi[Nama_Donatur],Data_Donasi[[#This Row],[Nama_Donatur]],Data_Donasi[Nominal])</f>
        <v>25500000</v>
      </c>
    </row>
    <row r="183" spans="1:7" x14ac:dyDescent="0.3">
      <c r="A183" s="14" t="s">
        <v>14</v>
      </c>
      <c r="B183" s="4" t="s">
        <v>114</v>
      </c>
      <c r="C183" s="4" t="s">
        <v>214</v>
      </c>
      <c r="D183" s="9">
        <v>45706</v>
      </c>
      <c r="E183" s="12">
        <v>150000</v>
      </c>
      <c r="F183" t="str" cm="1">
        <f t="array" ref="F183">_xlfn.IFS(G183&lt;5000000, "Bronze", G183&lt;10000000, "Silver", G183&lt;20000000, "Gold", G183&gt;=20000000, "Diamond")</f>
        <v>Diamond</v>
      </c>
      <c r="G183" s="11">
        <f>SUMIF(Data_Donasi[Nama_Donatur],Data_Donasi[[#This Row],[Nama_Donatur]],Data_Donasi[Nominal])</f>
        <v>73750000</v>
      </c>
    </row>
    <row r="184" spans="1:7" x14ac:dyDescent="0.3">
      <c r="A184" s="14" t="s">
        <v>21</v>
      </c>
      <c r="B184" s="4" t="s">
        <v>121</v>
      </c>
      <c r="C184" s="4" t="s">
        <v>221</v>
      </c>
      <c r="D184" s="9">
        <v>45707</v>
      </c>
      <c r="E184" s="12">
        <v>1000000</v>
      </c>
      <c r="F184" t="str" cm="1">
        <f t="array" ref="F184">_xlfn.IFS(G184&lt;5000000, "Bronze", G184&lt;10000000, "Silver", G184&lt;20000000, "Gold", G184&gt;=20000000, "Diamond")</f>
        <v>Diamond</v>
      </c>
      <c r="G184" s="11">
        <f>SUMIF(Data_Donasi[Nama_Donatur],Data_Donasi[[#This Row],[Nama_Donatur]],Data_Donasi[Nominal])</f>
        <v>61950000</v>
      </c>
    </row>
    <row r="185" spans="1:7" x14ac:dyDescent="0.3">
      <c r="A185" s="14" t="s">
        <v>30</v>
      </c>
      <c r="B185" s="4" t="s">
        <v>130</v>
      </c>
      <c r="C185" s="4" t="s">
        <v>230</v>
      </c>
      <c r="D185" s="9">
        <v>45707</v>
      </c>
      <c r="E185" s="12">
        <v>7000000</v>
      </c>
      <c r="F185" t="str" cm="1">
        <f t="array" ref="F185">_xlfn.IFS(G185&lt;5000000, "Bronze", G185&lt;10000000, "Silver", G185&lt;20000000, "Gold", G185&gt;=20000000, "Diamond")</f>
        <v>Diamond</v>
      </c>
      <c r="G185" s="11">
        <f>SUMIF(Data_Donasi[Nama_Donatur],Data_Donasi[[#This Row],[Nama_Donatur]],Data_Donasi[Nominal])</f>
        <v>135600000</v>
      </c>
    </row>
    <row r="186" spans="1:7" x14ac:dyDescent="0.3">
      <c r="A186" s="14" t="s">
        <v>75</v>
      </c>
      <c r="B186" s="4" t="s">
        <v>175</v>
      </c>
      <c r="C186" s="4" t="s">
        <v>275</v>
      </c>
      <c r="D186" s="9">
        <v>45707</v>
      </c>
      <c r="E186" s="12">
        <v>10000000</v>
      </c>
      <c r="F186" t="str" cm="1">
        <f t="array" ref="F186">_xlfn.IFS(G186&lt;5000000, "Bronze", G186&lt;10000000, "Silver", G186&lt;20000000, "Gold", G186&gt;=20000000, "Diamond")</f>
        <v>Diamond</v>
      </c>
      <c r="G186" s="11">
        <f>SUMIF(Data_Donasi[Nama_Donatur],Data_Donasi[[#This Row],[Nama_Donatur]],Data_Donasi[Nominal])</f>
        <v>44400000</v>
      </c>
    </row>
    <row r="187" spans="1:7" x14ac:dyDescent="0.3">
      <c r="A187" s="14" t="s">
        <v>17</v>
      </c>
      <c r="B187" s="4" t="s">
        <v>117</v>
      </c>
      <c r="C187" s="4" t="s">
        <v>217</v>
      </c>
      <c r="D187" s="9">
        <v>45707</v>
      </c>
      <c r="E187" s="12">
        <v>20000000</v>
      </c>
      <c r="F187" t="str" cm="1">
        <f t="array" ref="F187">_xlfn.IFS(G187&lt;5000000, "Bronze", G187&lt;10000000, "Silver", G187&lt;20000000, "Gold", G187&gt;=20000000, "Diamond")</f>
        <v>Diamond</v>
      </c>
      <c r="G187" s="11">
        <f>SUMIF(Data_Donasi[Nama_Donatur],Data_Donasi[[#This Row],[Nama_Donatur]],Data_Donasi[Nominal])</f>
        <v>86000000</v>
      </c>
    </row>
    <row r="188" spans="1:7" x14ac:dyDescent="0.3">
      <c r="A188" s="14" t="s">
        <v>15</v>
      </c>
      <c r="B188" s="4" t="s">
        <v>115</v>
      </c>
      <c r="C188" s="4" t="s">
        <v>215</v>
      </c>
      <c r="D188" s="9">
        <v>45707</v>
      </c>
      <c r="E188" s="12">
        <v>50000</v>
      </c>
      <c r="F188" t="str" cm="1">
        <f t="array" ref="F188">_xlfn.IFS(G188&lt;5000000, "Bronze", G188&lt;10000000, "Silver", G188&lt;20000000, "Gold", G188&gt;=20000000, "Diamond")</f>
        <v>Diamond</v>
      </c>
      <c r="G188" s="11">
        <f>SUMIF(Data_Donasi[Nama_Donatur],Data_Donasi[[#This Row],[Nama_Donatur]],Data_Donasi[Nominal])</f>
        <v>84750000</v>
      </c>
    </row>
    <row r="189" spans="1:7" x14ac:dyDescent="0.3">
      <c r="A189" s="14" t="s">
        <v>35</v>
      </c>
      <c r="B189" s="4" t="s">
        <v>135</v>
      </c>
      <c r="C189" s="4" t="s">
        <v>235</v>
      </c>
      <c r="D189" s="9">
        <v>45707</v>
      </c>
      <c r="E189" s="12">
        <v>150000</v>
      </c>
      <c r="F189" t="str" cm="1">
        <f t="array" ref="F189">_xlfn.IFS(G189&lt;5000000, "Bronze", G189&lt;10000000, "Silver", G189&lt;20000000, "Gold", G189&gt;=20000000, "Diamond")</f>
        <v>Diamond</v>
      </c>
      <c r="G189" s="11">
        <f>SUMIF(Data_Donasi[Nama_Donatur],Data_Donasi[[#This Row],[Nama_Donatur]],Data_Donasi[Nominal])</f>
        <v>97200000</v>
      </c>
    </row>
    <row r="190" spans="1:7" x14ac:dyDescent="0.3">
      <c r="A190" s="14" t="s">
        <v>20</v>
      </c>
      <c r="B190" s="4" t="s">
        <v>120</v>
      </c>
      <c r="C190" s="4" t="s">
        <v>220</v>
      </c>
      <c r="D190" s="9">
        <v>45707</v>
      </c>
      <c r="E190" s="12">
        <v>7000000</v>
      </c>
      <c r="F190" t="str" cm="1">
        <f t="array" ref="F190">_xlfn.IFS(G190&lt;5000000, "Bronze", G190&lt;10000000, "Silver", G190&lt;20000000, "Gold", G190&gt;=20000000, "Diamond")</f>
        <v>Diamond</v>
      </c>
      <c r="G190" s="11">
        <f>SUMIF(Data_Donasi[Nama_Donatur],Data_Donasi[[#This Row],[Nama_Donatur]],Data_Donasi[Nominal])</f>
        <v>25800000</v>
      </c>
    </row>
    <row r="191" spans="1:7" x14ac:dyDescent="0.3">
      <c r="A191" s="14" t="s">
        <v>12</v>
      </c>
      <c r="B191" s="4" t="s">
        <v>112</v>
      </c>
      <c r="C191" s="4" t="s">
        <v>212</v>
      </c>
      <c r="D191" s="9">
        <v>45708</v>
      </c>
      <c r="E191" s="12">
        <v>5000000</v>
      </c>
      <c r="F191" t="str" cm="1">
        <f t="array" ref="F191">_xlfn.IFS(G191&lt;5000000, "Bronze", G191&lt;10000000, "Silver", G191&lt;20000000, "Gold", G191&gt;=20000000, "Diamond")</f>
        <v>Silver</v>
      </c>
      <c r="G191" s="11">
        <f>SUMIF(Data_Donasi[Nama_Donatur],Data_Donasi[[#This Row],[Nama_Donatur]],Data_Donasi[Nominal])</f>
        <v>8900000</v>
      </c>
    </row>
    <row r="192" spans="1:7" x14ac:dyDescent="0.3">
      <c r="A192" s="14" t="s">
        <v>43</v>
      </c>
      <c r="B192" s="4" t="s">
        <v>143</v>
      </c>
      <c r="C192" s="4" t="s">
        <v>243</v>
      </c>
      <c r="D192" s="9">
        <v>45708</v>
      </c>
      <c r="E192" s="12">
        <v>50000</v>
      </c>
      <c r="F192" t="str" cm="1">
        <f t="array" ref="F192">_xlfn.IFS(G192&lt;5000000, "Bronze", G192&lt;10000000, "Silver", G192&lt;20000000, "Gold", G192&gt;=20000000, "Diamond")</f>
        <v>Diamond</v>
      </c>
      <c r="G192" s="11">
        <f>SUMIF(Data_Donasi[Nama_Donatur],Data_Donasi[[#This Row],[Nama_Donatur]],Data_Donasi[Nominal])</f>
        <v>32400000</v>
      </c>
    </row>
    <row r="193" spans="1:7" x14ac:dyDescent="0.3">
      <c r="A193" s="14" t="s">
        <v>9</v>
      </c>
      <c r="B193" s="4" t="s">
        <v>109</v>
      </c>
      <c r="C193" s="4" t="s">
        <v>209</v>
      </c>
      <c r="D193" s="9">
        <v>45708</v>
      </c>
      <c r="E193" s="12">
        <v>250000</v>
      </c>
      <c r="F193" t="str" cm="1">
        <f t="array" ref="F193">_xlfn.IFS(G193&lt;5000000, "Bronze", G193&lt;10000000, "Silver", G193&lt;20000000, "Gold", G193&gt;=20000000, "Diamond")</f>
        <v>Diamond</v>
      </c>
      <c r="G193" s="11">
        <f>SUMIF(Data_Donasi[Nama_Donatur],Data_Donasi[[#This Row],[Nama_Donatur]],Data_Donasi[Nominal])</f>
        <v>24900000</v>
      </c>
    </row>
    <row r="194" spans="1:7" x14ac:dyDescent="0.3">
      <c r="A194" s="14" t="s">
        <v>59</v>
      </c>
      <c r="B194" s="4" t="s">
        <v>159</v>
      </c>
      <c r="C194" s="4" t="s">
        <v>259</v>
      </c>
      <c r="D194" s="9">
        <v>45708</v>
      </c>
      <c r="E194" s="12">
        <v>50000</v>
      </c>
      <c r="F194" t="str" cm="1">
        <f t="array" ref="F194">_xlfn.IFS(G194&lt;5000000, "Bronze", G194&lt;10000000, "Silver", G194&lt;20000000, "Gold", G194&gt;=20000000, "Diamond")</f>
        <v>Diamond</v>
      </c>
      <c r="G194" s="11">
        <f>SUMIF(Data_Donasi[Nama_Donatur],Data_Donasi[[#This Row],[Nama_Donatur]],Data_Donasi[Nominal])</f>
        <v>22850000</v>
      </c>
    </row>
    <row r="195" spans="1:7" x14ac:dyDescent="0.3">
      <c r="A195" s="14" t="s">
        <v>22</v>
      </c>
      <c r="B195" s="4" t="s">
        <v>122</v>
      </c>
      <c r="C195" s="4" t="s">
        <v>222</v>
      </c>
      <c r="D195" s="9">
        <v>45709</v>
      </c>
      <c r="E195" s="12">
        <v>3000000</v>
      </c>
      <c r="F195" t="str" cm="1">
        <f t="array" ref="F195">_xlfn.IFS(G195&lt;5000000, "Bronze", G195&lt;10000000, "Silver", G195&lt;20000000, "Gold", G195&gt;=20000000, "Diamond")</f>
        <v>Diamond</v>
      </c>
      <c r="G195" s="11">
        <f>SUMIF(Data_Donasi[Nama_Donatur],Data_Donasi[[#This Row],[Nama_Donatur]],Data_Donasi[Nominal])</f>
        <v>67900000</v>
      </c>
    </row>
    <row r="196" spans="1:7" x14ac:dyDescent="0.3">
      <c r="A196" s="14" t="s">
        <v>39</v>
      </c>
      <c r="B196" s="4" t="s">
        <v>139</v>
      </c>
      <c r="C196" s="4" t="s">
        <v>239</v>
      </c>
      <c r="D196" s="9">
        <v>45709</v>
      </c>
      <c r="E196" s="12">
        <v>5000000</v>
      </c>
      <c r="F196" t="str" cm="1">
        <f t="array" ref="F196">_xlfn.IFS(G196&lt;5000000, "Bronze", G196&lt;10000000, "Silver", G196&lt;20000000, "Gold", G196&gt;=20000000, "Diamond")</f>
        <v>Diamond</v>
      </c>
      <c r="G196" s="11">
        <f>SUMIF(Data_Donasi[Nama_Donatur],Data_Donasi[[#This Row],[Nama_Donatur]],Data_Donasi[Nominal])</f>
        <v>50750000</v>
      </c>
    </row>
    <row r="197" spans="1:7" x14ac:dyDescent="0.3">
      <c r="A197" s="14" t="s">
        <v>29</v>
      </c>
      <c r="B197" s="4" t="s">
        <v>129</v>
      </c>
      <c r="C197" s="4" t="s">
        <v>229</v>
      </c>
      <c r="D197" s="9">
        <v>45709</v>
      </c>
      <c r="E197" s="12">
        <v>3000000</v>
      </c>
      <c r="F197" t="str" cm="1">
        <f t="array" ref="F197">_xlfn.IFS(G197&lt;5000000, "Bronze", G197&lt;10000000, "Silver", G197&lt;20000000, "Gold", G197&gt;=20000000, "Diamond")</f>
        <v>Diamond</v>
      </c>
      <c r="G197" s="11">
        <f>SUMIF(Data_Donasi[Nama_Donatur],Data_Donasi[[#This Row],[Nama_Donatur]],Data_Donasi[Nominal])</f>
        <v>30400000</v>
      </c>
    </row>
    <row r="198" spans="1:7" x14ac:dyDescent="0.3">
      <c r="A198" s="14" t="s">
        <v>95</v>
      </c>
      <c r="B198" s="4" t="s">
        <v>195</v>
      </c>
      <c r="C198" s="4" t="s">
        <v>295</v>
      </c>
      <c r="D198" s="9">
        <v>45709</v>
      </c>
      <c r="E198" s="12">
        <v>150000</v>
      </c>
      <c r="F198" t="str" cm="1">
        <f t="array" ref="F198">_xlfn.IFS(G198&lt;5000000, "Bronze", G198&lt;10000000, "Silver", G198&lt;20000000, "Gold", G198&gt;=20000000, "Diamond")</f>
        <v>Diamond</v>
      </c>
      <c r="G198" s="11">
        <f>SUMIF(Data_Donasi[Nama_Donatur],Data_Donasi[[#This Row],[Nama_Donatur]],Data_Donasi[Nominal])</f>
        <v>30000000</v>
      </c>
    </row>
    <row r="199" spans="1:7" x14ac:dyDescent="0.3">
      <c r="A199" s="14" t="s">
        <v>66</v>
      </c>
      <c r="B199" s="4" t="s">
        <v>166</v>
      </c>
      <c r="C199" s="4" t="s">
        <v>266</v>
      </c>
      <c r="D199" s="9">
        <v>45709</v>
      </c>
      <c r="E199" s="12">
        <v>250000</v>
      </c>
      <c r="F199" t="str" cm="1">
        <f t="array" ref="F199">_xlfn.IFS(G199&lt;5000000, "Bronze", G199&lt;10000000, "Silver", G199&lt;20000000, "Gold", G199&gt;=20000000, "Diamond")</f>
        <v>Diamond</v>
      </c>
      <c r="G199" s="11">
        <f>SUMIF(Data_Donasi[Nama_Donatur],Data_Donasi[[#This Row],[Nama_Donatur]],Data_Donasi[Nominal])</f>
        <v>26350000</v>
      </c>
    </row>
    <row r="200" spans="1:7" x14ac:dyDescent="0.3">
      <c r="A200" s="14" t="s">
        <v>29</v>
      </c>
      <c r="B200" s="4" t="s">
        <v>129</v>
      </c>
      <c r="C200" s="4" t="s">
        <v>229</v>
      </c>
      <c r="D200" s="9">
        <v>45709</v>
      </c>
      <c r="E200" s="12">
        <v>3000000</v>
      </c>
      <c r="F200" t="str" cm="1">
        <f t="array" ref="F200">_xlfn.IFS(G200&lt;5000000, "Bronze", G200&lt;10000000, "Silver", G200&lt;20000000, "Gold", G200&gt;=20000000, "Diamond")</f>
        <v>Diamond</v>
      </c>
      <c r="G200" s="11">
        <f>SUMIF(Data_Donasi[Nama_Donatur],Data_Donasi[[#This Row],[Nama_Donatur]],Data_Donasi[Nominal])</f>
        <v>30400000</v>
      </c>
    </row>
    <row r="201" spans="1:7" x14ac:dyDescent="0.3">
      <c r="A201" s="14" t="s">
        <v>83</v>
      </c>
      <c r="B201" s="4" t="s">
        <v>183</v>
      </c>
      <c r="C201" s="4" t="s">
        <v>283</v>
      </c>
      <c r="D201" s="9">
        <v>45710</v>
      </c>
      <c r="E201" s="12">
        <v>5000000</v>
      </c>
      <c r="F201" t="str" cm="1">
        <f t="array" ref="F201">_xlfn.IFS(G201&lt;5000000, "Bronze", G201&lt;10000000, "Silver", G201&lt;20000000, "Gold", G201&gt;=20000000, "Diamond")</f>
        <v>Diamond</v>
      </c>
      <c r="G201" s="11">
        <f>SUMIF(Data_Donasi[Nama_Donatur],Data_Donasi[[#This Row],[Nama_Donatur]],Data_Donasi[Nominal])</f>
        <v>47400000</v>
      </c>
    </row>
    <row r="202" spans="1:7" x14ac:dyDescent="0.3">
      <c r="A202" s="14" t="s">
        <v>12</v>
      </c>
      <c r="B202" s="4" t="s">
        <v>112</v>
      </c>
      <c r="C202" s="4" t="s">
        <v>212</v>
      </c>
      <c r="D202" s="9">
        <v>45710</v>
      </c>
      <c r="E202" s="12">
        <v>150000</v>
      </c>
      <c r="F202" t="str" cm="1">
        <f t="array" ref="F202">_xlfn.IFS(G202&lt;5000000, "Bronze", G202&lt;10000000, "Silver", G202&lt;20000000, "Gold", G202&gt;=20000000, "Diamond")</f>
        <v>Silver</v>
      </c>
      <c r="G202" s="11">
        <f>SUMIF(Data_Donasi[Nama_Donatur],Data_Donasi[[#This Row],[Nama_Donatur]],Data_Donasi[Nominal])</f>
        <v>8900000</v>
      </c>
    </row>
    <row r="203" spans="1:7" x14ac:dyDescent="0.3">
      <c r="A203" s="14" t="s">
        <v>45</v>
      </c>
      <c r="B203" s="4" t="s">
        <v>145</v>
      </c>
      <c r="C203" s="4" t="s">
        <v>245</v>
      </c>
      <c r="D203" s="9">
        <v>45710</v>
      </c>
      <c r="E203" s="12">
        <v>200000</v>
      </c>
      <c r="F203" t="str" cm="1">
        <f t="array" ref="F203">_xlfn.IFS(G203&lt;5000000, "Bronze", G203&lt;10000000, "Silver", G203&lt;20000000, "Gold", G203&gt;=20000000, "Diamond")</f>
        <v>Diamond</v>
      </c>
      <c r="G203" s="11">
        <f>SUMIF(Data_Donasi[Nama_Donatur],Data_Donasi[[#This Row],[Nama_Donatur]],Data_Donasi[Nominal])</f>
        <v>42850000</v>
      </c>
    </row>
    <row r="204" spans="1:7" x14ac:dyDescent="0.3">
      <c r="A204" s="14" t="s">
        <v>61</v>
      </c>
      <c r="B204" s="4" t="s">
        <v>161</v>
      </c>
      <c r="C204" s="4" t="s">
        <v>261</v>
      </c>
      <c r="D204" s="9">
        <v>45711</v>
      </c>
      <c r="E204" s="12">
        <v>20000000</v>
      </c>
      <c r="F204" t="str" cm="1">
        <f t="array" ref="F204">_xlfn.IFS(G204&lt;5000000, "Bronze", G204&lt;10000000, "Silver", G204&lt;20000000, "Gold", G204&gt;=20000000, "Diamond")</f>
        <v>Diamond</v>
      </c>
      <c r="G204" s="11">
        <f>SUMIF(Data_Donasi[Nama_Donatur],Data_Donasi[[#This Row],[Nama_Donatur]],Data_Donasi[Nominal])</f>
        <v>30650000</v>
      </c>
    </row>
    <row r="205" spans="1:7" x14ac:dyDescent="0.3">
      <c r="A205" s="14" t="s">
        <v>72</v>
      </c>
      <c r="B205" s="4" t="s">
        <v>172</v>
      </c>
      <c r="C205" s="4" t="s">
        <v>272</v>
      </c>
      <c r="D205" s="9">
        <v>45711</v>
      </c>
      <c r="E205" s="12">
        <v>1000000</v>
      </c>
      <c r="F205" t="str" cm="1">
        <f t="array" ref="F205">_xlfn.IFS(G205&lt;5000000, "Bronze", G205&lt;10000000, "Silver", G205&lt;20000000, "Gold", G205&gt;=20000000, "Diamond")</f>
        <v>Diamond</v>
      </c>
      <c r="G205" s="11">
        <f>SUMIF(Data_Donasi[Nama_Donatur],Data_Donasi[[#This Row],[Nama_Donatur]],Data_Donasi[Nominal])</f>
        <v>53250000</v>
      </c>
    </row>
    <row r="206" spans="1:7" x14ac:dyDescent="0.3">
      <c r="A206" s="14" t="s">
        <v>32</v>
      </c>
      <c r="B206" s="4" t="s">
        <v>132</v>
      </c>
      <c r="C206" s="4" t="s">
        <v>232</v>
      </c>
      <c r="D206" s="9">
        <v>45712</v>
      </c>
      <c r="E206" s="12">
        <v>10000000</v>
      </c>
      <c r="F206" t="str" cm="1">
        <f t="array" ref="F206">_xlfn.IFS(G206&lt;5000000, "Bronze", G206&lt;10000000, "Silver", G206&lt;20000000, "Gold", G206&gt;=20000000, "Diamond")</f>
        <v>Diamond</v>
      </c>
      <c r="G206" s="11">
        <f>SUMIF(Data_Donasi[Nama_Donatur],Data_Donasi[[#This Row],[Nama_Donatur]],Data_Donasi[Nominal])</f>
        <v>23800000</v>
      </c>
    </row>
    <row r="207" spans="1:7" x14ac:dyDescent="0.3">
      <c r="A207" s="14" t="s">
        <v>40</v>
      </c>
      <c r="B207" s="4" t="s">
        <v>140</v>
      </c>
      <c r="C207" s="4" t="s">
        <v>240</v>
      </c>
      <c r="D207" s="9">
        <v>45712</v>
      </c>
      <c r="E207" s="12">
        <v>7000000</v>
      </c>
      <c r="F207" t="str" cm="1">
        <f t="array" ref="F207">_xlfn.IFS(G207&lt;5000000, "Bronze", G207&lt;10000000, "Silver", G207&lt;20000000, "Gold", G207&gt;=20000000, "Diamond")</f>
        <v>Diamond</v>
      </c>
      <c r="G207" s="11">
        <f>SUMIF(Data_Donasi[Nama_Donatur],Data_Donasi[[#This Row],[Nama_Donatur]],Data_Donasi[Nominal])</f>
        <v>45950000</v>
      </c>
    </row>
    <row r="208" spans="1:7" x14ac:dyDescent="0.3">
      <c r="A208" s="14" t="s">
        <v>56</v>
      </c>
      <c r="B208" s="4" t="s">
        <v>156</v>
      </c>
      <c r="C208" s="4" t="s">
        <v>256</v>
      </c>
      <c r="D208" s="9">
        <v>45712</v>
      </c>
      <c r="E208" s="12">
        <v>5000000</v>
      </c>
      <c r="F208" t="str" cm="1">
        <f t="array" ref="F208">_xlfn.IFS(G208&lt;5000000, "Bronze", G208&lt;10000000, "Silver", G208&lt;20000000, "Gold", G208&gt;=20000000, "Diamond")</f>
        <v>Diamond</v>
      </c>
      <c r="G208" s="11">
        <f>SUMIF(Data_Donasi[Nama_Donatur],Data_Donasi[[#This Row],[Nama_Donatur]],Data_Donasi[Nominal])</f>
        <v>49000000</v>
      </c>
    </row>
    <row r="209" spans="1:7" x14ac:dyDescent="0.3">
      <c r="A209" s="14" t="s">
        <v>46</v>
      </c>
      <c r="B209" s="4" t="s">
        <v>146</v>
      </c>
      <c r="C209" s="4" t="s">
        <v>246</v>
      </c>
      <c r="D209" s="9">
        <v>45712</v>
      </c>
      <c r="E209" s="12">
        <v>1000000</v>
      </c>
      <c r="F209" t="str" cm="1">
        <f t="array" ref="F209">_xlfn.IFS(G209&lt;5000000, "Bronze", G209&lt;10000000, "Silver", G209&lt;20000000, "Gold", G209&gt;=20000000, "Diamond")</f>
        <v>Diamond</v>
      </c>
      <c r="G209" s="11">
        <f>SUMIF(Data_Donasi[Nama_Donatur],Data_Donasi[[#This Row],[Nama_Donatur]],Data_Donasi[Nominal])</f>
        <v>48550000</v>
      </c>
    </row>
    <row r="210" spans="1:7" x14ac:dyDescent="0.3">
      <c r="A210" s="14" t="s">
        <v>78</v>
      </c>
      <c r="B210" s="4" t="s">
        <v>178</v>
      </c>
      <c r="C210" s="4" t="s">
        <v>278</v>
      </c>
      <c r="D210" s="9">
        <v>45712</v>
      </c>
      <c r="E210" s="12">
        <v>2000000</v>
      </c>
      <c r="F210" t="str" cm="1">
        <f t="array" ref="F210">_xlfn.IFS(G210&lt;5000000, "Bronze", G210&lt;10000000, "Silver", G210&lt;20000000, "Gold", G210&gt;=20000000, "Diamond")</f>
        <v>Diamond</v>
      </c>
      <c r="G210" s="11">
        <f>SUMIF(Data_Donasi[Nama_Donatur],Data_Donasi[[#This Row],[Nama_Donatur]],Data_Donasi[Nominal])</f>
        <v>115650000</v>
      </c>
    </row>
    <row r="211" spans="1:7" x14ac:dyDescent="0.3">
      <c r="A211" s="14" t="s">
        <v>34</v>
      </c>
      <c r="B211" s="4" t="s">
        <v>134</v>
      </c>
      <c r="C211" s="4" t="s">
        <v>234</v>
      </c>
      <c r="D211" s="9">
        <v>45712</v>
      </c>
      <c r="E211" s="12">
        <v>50000</v>
      </c>
      <c r="F211" t="str" cm="1">
        <f t="array" ref="F211">_xlfn.IFS(G211&lt;5000000, "Bronze", G211&lt;10000000, "Silver", G211&lt;20000000, "Gold", G211&gt;=20000000, "Diamond")</f>
        <v>Gold</v>
      </c>
      <c r="G211" s="11">
        <f>SUMIF(Data_Donasi[Nama_Donatur],Data_Donasi[[#This Row],[Nama_Donatur]],Data_Donasi[Nominal])</f>
        <v>18400000</v>
      </c>
    </row>
    <row r="212" spans="1:7" x14ac:dyDescent="0.3">
      <c r="A212" s="14" t="s">
        <v>104</v>
      </c>
      <c r="B212" s="4" t="s">
        <v>204</v>
      </c>
      <c r="C212" s="4" t="s">
        <v>304</v>
      </c>
      <c r="D212" s="9">
        <v>45712</v>
      </c>
      <c r="E212" s="12">
        <v>500000</v>
      </c>
      <c r="F212" t="str" cm="1">
        <f t="array" ref="F212">_xlfn.IFS(G212&lt;5000000, "Bronze", G212&lt;10000000, "Silver", G212&lt;20000000, "Gold", G212&gt;=20000000, "Diamond")</f>
        <v>Diamond</v>
      </c>
      <c r="G212" s="11">
        <f>SUMIF(Data_Donasi[Nama_Donatur],Data_Donasi[[#This Row],[Nama_Donatur]],Data_Donasi[Nominal])</f>
        <v>22000000</v>
      </c>
    </row>
    <row r="213" spans="1:7" x14ac:dyDescent="0.3">
      <c r="A213" s="14" t="s">
        <v>71</v>
      </c>
      <c r="B213" s="4" t="s">
        <v>171</v>
      </c>
      <c r="C213" s="4" t="s">
        <v>271</v>
      </c>
      <c r="D213" s="9">
        <v>45712</v>
      </c>
      <c r="E213" s="12">
        <v>5000000</v>
      </c>
      <c r="F213" t="str" cm="1">
        <f t="array" ref="F213">_xlfn.IFS(G213&lt;5000000, "Bronze", G213&lt;10000000, "Silver", G213&lt;20000000, "Gold", G213&gt;=20000000, "Diamond")</f>
        <v>Gold</v>
      </c>
      <c r="G213" s="11">
        <f>SUMIF(Data_Donasi[Nama_Donatur],Data_Donasi[[#This Row],[Nama_Donatur]],Data_Donasi[Nominal])</f>
        <v>15200000</v>
      </c>
    </row>
    <row r="214" spans="1:7" x14ac:dyDescent="0.3">
      <c r="A214" s="14" t="s">
        <v>20</v>
      </c>
      <c r="B214" s="4" t="s">
        <v>120</v>
      </c>
      <c r="C214" s="4" t="s">
        <v>220</v>
      </c>
      <c r="D214" s="9">
        <v>45713</v>
      </c>
      <c r="E214" s="12">
        <v>50000</v>
      </c>
      <c r="F214" t="str" cm="1">
        <f t="array" ref="F214">_xlfn.IFS(G214&lt;5000000, "Bronze", G214&lt;10000000, "Silver", G214&lt;20000000, "Gold", G214&gt;=20000000, "Diamond")</f>
        <v>Diamond</v>
      </c>
      <c r="G214" s="11">
        <f>SUMIF(Data_Donasi[Nama_Donatur],Data_Donasi[[#This Row],[Nama_Donatur]],Data_Donasi[Nominal])</f>
        <v>25800000</v>
      </c>
    </row>
    <row r="215" spans="1:7" x14ac:dyDescent="0.3">
      <c r="A215" s="14" t="s">
        <v>102</v>
      </c>
      <c r="B215" s="4" t="s">
        <v>202</v>
      </c>
      <c r="C215" s="4" t="s">
        <v>302</v>
      </c>
      <c r="D215" s="9">
        <v>45713</v>
      </c>
      <c r="E215" s="12">
        <v>20000000</v>
      </c>
      <c r="F215" t="str" cm="1">
        <f t="array" ref="F215">_xlfn.IFS(G215&lt;5000000, "Bronze", G215&lt;10000000, "Silver", G215&lt;20000000, "Gold", G215&gt;=20000000, "Diamond")</f>
        <v>Diamond</v>
      </c>
      <c r="G215" s="11">
        <f>SUMIF(Data_Donasi[Nama_Donatur],Data_Donasi[[#This Row],[Nama_Donatur]],Data_Donasi[Nominal])</f>
        <v>55750000</v>
      </c>
    </row>
    <row r="216" spans="1:7" x14ac:dyDescent="0.3">
      <c r="A216" s="14" t="s">
        <v>27</v>
      </c>
      <c r="B216" s="4" t="s">
        <v>127</v>
      </c>
      <c r="C216" s="4" t="s">
        <v>227</v>
      </c>
      <c r="D216" s="9">
        <v>45714</v>
      </c>
      <c r="E216" s="12">
        <v>1000000</v>
      </c>
      <c r="F216" t="str" cm="1">
        <f t="array" ref="F216">_xlfn.IFS(G216&lt;5000000, "Bronze", G216&lt;10000000, "Silver", G216&lt;20000000, "Gold", G216&gt;=20000000, "Diamond")</f>
        <v>Diamond</v>
      </c>
      <c r="G216" s="11">
        <f>SUMIF(Data_Donasi[Nama_Donatur],Data_Donasi[[#This Row],[Nama_Donatur]],Data_Donasi[Nominal])</f>
        <v>29050000</v>
      </c>
    </row>
    <row r="217" spans="1:7" x14ac:dyDescent="0.3">
      <c r="A217" s="14" t="s">
        <v>22</v>
      </c>
      <c r="B217" s="4" t="s">
        <v>122</v>
      </c>
      <c r="C217" s="4" t="s">
        <v>222</v>
      </c>
      <c r="D217" s="9">
        <v>45714</v>
      </c>
      <c r="E217" s="12">
        <v>20000000</v>
      </c>
      <c r="F217" t="str" cm="1">
        <f t="array" ref="F217">_xlfn.IFS(G217&lt;5000000, "Bronze", G217&lt;10000000, "Silver", G217&lt;20000000, "Gold", G217&gt;=20000000, "Diamond")</f>
        <v>Diamond</v>
      </c>
      <c r="G217" s="11">
        <f>SUMIF(Data_Donasi[Nama_Donatur],Data_Donasi[[#This Row],[Nama_Donatur]],Data_Donasi[Nominal])</f>
        <v>67900000</v>
      </c>
    </row>
    <row r="218" spans="1:7" x14ac:dyDescent="0.3">
      <c r="A218" s="14" t="s">
        <v>79</v>
      </c>
      <c r="B218" s="4" t="s">
        <v>179</v>
      </c>
      <c r="C218" s="4" t="s">
        <v>279</v>
      </c>
      <c r="D218" s="9">
        <v>45714</v>
      </c>
      <c r="E218" s="12">
        <v>1000000</v>
      </c>
      <c r="F218" t="str" cm="1">
        <f t="array" ref="F218">_xlfn.IFS(G218&lt;5000000, "Bronze", G218&lt;10000000, "Silver", G218&lt;20000000, "Gold", G218&gt;=20000000, "Diamond")</f>
        <v>Diamond</v>
      </c>
      <c r="G218" s="11">
        <f>SUMIF(Data_Donasi[Nama_Donatur],Data_Donasi[[#This Row],[Nama_Donatur]],Data_Donasi[Nominal])</f>
        <v>23700000</v>
      </c>
    </row>
    <row r="219" spans="1:7" x14ac:dyDescent="0.3">
      <c r="A219" s="14" t="s">
        <v>85</v>
      </c>
      <c r="B219" s="4" t="s">
        <v>185</v>
      </c>
      <c r="C219" s="4" t="s">
        <v>285</v>
      </c>
      <c r="D219" s="9">
        <v>45714</v>
      </c>
      <c r="E219" s="12">
        <v>150000</v>
      </c>
      <c r="F219" t="str" cm="1">
        <f t="array" ref="F219">_xlfn.IFS(G219&lt;5000000, "Bronze", G219&lt;10000000, "Silver", G219&lt;20000000, "Gold", G219&gt;=20000000, "Diamond")</f>
        <v>Gold</v>
      </c>
      <c r="G219" s="11">
        <f>SUMIF(Data_Donasi[Nama_Donatur],Data_Donasi[[#This Row],[Nama_Donatur]],Data_Donasi[Nominal])</f>
        <v>18900000</v>
      </c>
    </row>
    <row r="220" spans="1:7" x14ac:dyDescent="0.3">
      <c r="A220" s="14" t="s">
        <v>9</v>
      </c>
      <c r="B220" s="4" t="s">
        <v>109</v>
      </c>
      <c r="C220" s="4" t="s">
        <v>209</v>
      </c>
      <c r="D220" s="9">
        <v>45715</v>
      </c>
      <c r="E220" s="12">
        <v>500000</v>
      </c>
      <c r="F220" t="str" cm="1">
        <f t="array" ref="F220">_xlfn.IFS(G220&lt;5000000, "Bronze", G220&lt;10000000, "Silver", G220&lt;20000000, "Gold", G220&gt;=20000000, "Diamond")</f>
        <v>Diamond</v>
      </c>
      <c r="G220" s="11">
        <f>SUMIF(Data_Donasi[Nama_Donatur],Data_Donasi[[#This Row],[Nama_Donatur]],Data_Donasi[Nominal])</f>
        <v>24900000</v>
      </c>
    </row>
    <row r="221" spans="1:7" x14ac:dyDescent="0.3">
      <c r="A221" s="14" t="s">
        <v>77</v>
      </c>
      <c r="B221" s="4" t="s">
        <v>177</v>
      </c>
      <c r="C221" s="4" t="s">
        <v>277</v>
      </c>
      <c r="D221" s="9">
        <v>45716</v>
      </c>
      <c r="E221" s="12">
        <v>50000</v>
      </c>
      <c r="F221" t="str" cm="1">
        <f t="array" ref="F221">_xlfn.IFS(G221&lt;5000000, "Bronze", G221&lt;10000000, "Silver", G221&lt;20000000, "Gold", G221&gt;=20000000, "Diamond")</f>
        <v>Diamond</v>
      </c>
      <c r="G221" s="11">
        <f>SUMIF(Data_Donasi[Nama_Donatur],Data_Donasi[[#This Row],[Nama_Donatur]],Data_Donasi[Nominal])</f>
        <v>47350000</v>
      </c>
    </row>
    <row r="222" spans="1:7" x14ac:dyDescent="0.3">
      <c r="A222" s="14" t="s">
        <v>85</v>
      </c>
      <c r="B222" s="4" t="s">
        <v>185</v>
      </c>
      <c r="C222" s="4" t="s">
        <v>285</v>
      </c>
      <c r="D222" s="9">
        <v>45716</v>
      </c>
      <c r="E222" s="12">
        <v>150000</v>
      </c>
      <c r="F222" t="str" cm="1">
        <f t="array" ref="F222">_xlfn.IFS(G222&lt;5000000, "Bronze", G222&lt;10000000, "Silver", G222&lt;20000000, "Gold", G222&gt;=20000000, "Diamond")</f>
        <v>Gold</v>
      </c>
      <c r="G222" s="11">
        <f>SUMIF(Data_Donasi[Nama_Donatur],Data_Donasi[[#This Row],[Nama_Donatur]],Data_Donasi[Nominal])</f>
        <v>18900000</v>
      </c>
    </row>
    <row r="223" spans="1:7" x14ac:dyDescent="0.3">
      <c r="A223" s="14" t="s">
        <v>98</v>
      </c>
      <c r="B223" s="4" t="s">
        <v>198</v>
      </c>
      <c r="C223" s="4" t="s">
        <v>298</v>
      </c>
      <c r="D223" s="9">
        <v>45717</v>
      </c>
      <c r="E223" s="12">
        <v>1000000</v>
      </c>
      <c r="F223" t="str" cm="1">
        <f t="array" ref="F223">_xlfn.IFS(G223&lt;5000000, "Bronze", G223&lt;10000000, "Silver", G223&lt;20000000, "Gold", G223&gt;=20000000, "Diamond")</f>
        <v>Diamond</v>
      </c>
      <c r="G223" s="11">
        <f>SUMIF(Data_Donasi[Nama_Donatur],Data_Donasi[[#This Row],[Nama_Donatur]],Data_Donasi[Nominal])</f>
        <v>36400000</v>
      </c>
    </row>
    <row r="224" spans="1:7" x14ac:dyDescent="0.3">
      <c r="A224" s="14" t="s">
        <v>17</v>
      </c>
      <c r="B224" s="4" t="s">
        <v>117</v>
      </c>
      <c r="C224" s="4" t="s">
        <v>217</v>
      </c>
      <c r="D224" s="9">
        <v>45717</v>
      </c>
      <c r="E224" s="12">
        <v>10000000</v>
      </c>
      <c r="F224" t="str" cm="1">
        <f t="array" ref="F224">_xlfn.IFS(G224&lt;5000000, "Bronze", G224&lt;10000000, "Silver", G224&lt;20000000, "Gold", G224&gt;=20000000, "Diamond")</f>
        <v>Diamond</v>
      </c>
      <c r="G224" s="11">
        <f>SUMIF(Data_Donasi[Nama_Donatur],Data_Donasi[[#This Row],[Nama_Donatur]],Data_Donasi[Nominal])</f>
        <v>86000000</v>
      </c>
    </row>
    <row r="225" spans="1:7" x14ac:dyDescent="0.3">
      <c r="A225" s="14" t="s">
        <v>83</v>
      </c>
      <c r="B225" s="4" t="s">
        <v>183</v>
      </c>
      <c r="C225" s="4" t="s">
        <v>283</v>
      </c>
      <c r="D225" s="9">
        <v>45717</v>
      </c>
      <c r="E225" s="12">
        <v>200000</v>
      </c>
      <c r="F225" t="str" cm="1">
        <f t="array" ref="F225">_xlfn.IFS(G225&lt;5000000, "Bronze", G225&lt;10000000, "Silver", G225&lt;20000000, "Gold", G225&gt;=20000000, "Diamond")</f>
        <v>Diamond</v>
      </c>
      <c r="G225" s="11">
        <f>SUMIF(Data_Donasi[Nama_Donatur],Data_Donasi[[#This Row],[Nama_Donatur]],Data_Donasi[Nominal])</f>
        <v>47400000</v>
      </c>
    </row>
    <row r="226" spans="1:7" x14ac:dyDescent="0.3">
      <c r="A226" s="14" t="s">
        <v>72</v>
      </c>
      <c r="B226" s="4" t="s">
        <v>172</v>
      </c>
      <c r="C226" s="4" t="s">
        <v>272</v>
      </c>
      <c r="D226" s="9">
        <v>45717</v>
      </c>
      <c r="E226" s="12">
        <v>20000000</v>
      </c>
      <c r="F226" t="str" cm="1">
        <f t="array" ref="F226">_xlfn.IFS(G226&lt;5000000, "Bronze", G226&lt;10000000, "Silver", G226&lt;20000000, "Gold", G226&gt;=20000000, "Diamond")</f>
        <v>Diamond</v>
      </c>
      <c r="G226" s="11">
        <f>SUMIF(Data_Donasi[Nama_Donatur],Data_Donasi[[#This Row],[Nama_Donatur]],Data_Donasi[Nominal])</f>
        <v>53250000</v>
      </c>
    </row>
    <row r="227" spans="1:7" x14ac:dyDescent="0.3">
      <c r="A227" s="14" t="s">
        <v>17</v>
      </c>
      <c r="B227" s="4" t="s">
        <v>117</v>
      </c>
      <c r="C227" s="4" t="s">
        <v>217</v>
      </c>
      <c r="D227" s="9">
        <v>45717</v>
      </c>
      <c r="E227" s="12">
        <v>5000000</v>
      </c>
      <c r="F227" t="str" cm="1">
        <f t="array" ref="F227">_xlfn.IFS(G227&lt;5000000, "Bronze", G227&lt;10000000, "Silver", G227&lt;20000000, "Gold", G227&gt;=20000000, "Diamond")</f>
        <v>Diamond</v>
      </c>
      <c r="G227" s="11">
        <f>SUMIF(Data_Donasi[Nama_Donatur],Data_Donasi[[#This Row],[Nama_Donatur]],Data_Donasi[Nominal])</f>
        <v>86000000</v>
      </c>
    </row>
    <row r="228" spans="1:7" x14ac:dyDescent="0.3">
      <c r="A228" s="14" t="s">
        <v>57</v>
      </c>
      <c r="B228" s="4" t="s">
        <v>157</v>
      </c>
      <c r="C228" s="4" t="s">
        <v>257</v>
      </c>
      <c r="D228" s="9">
        <v>45718</v>
      </c>
      <c r="E228" s="12">
        <v>5000000</v>
      </c>
      <c r="F228" t="str" cm="1">
        <f t="array" ref="F228">_xlfn.IFS(G228&lt;5000000, "Bronze", G228&lt;10000000, "Silver", G228&lt;20000000, "Gold", G228&gt;=20000000, "Diamond")</f>
        <v>Diamond</v>
      </c>
      <c r="G228" s="11">
        <f>SUMIF(Data_Donasi[Nama_Donatur],Data_Donasi[[#This Row],[Nama_Donatur]],Data_Donasi[Nominal])</f>
        <v>30750000</v>
      </c>
    </row>
    <row r="229" spans="1:7" x14ac:dyDescent="0.3">
      <c r="A229" s="14" t="s">
        <v>47</v>
      </c>
      <c r="B229" s="4" t="s">
        <v>147</v>
      </c>
      <c r="C229" s="4" t="s">
        <v>247</v>
      </c>
      <c r="D229" s="9">
        <v>45718</v>
      </c>
      <c r="E229" s="12">
        <v>50000</v>
      </c>
      <c r="F229" t="str" cm="1">
        <f t="array" ref="F229">_xlfn.IFS(G229&lt;5000000, "Bronze", G229&lt;10000000, "Silver", G229&lt;20000000, "Gold", G229&gt;=20000000, "Diamond")</f>
        <v>Diamond</v>
      </c>
      <c r="G229" s="11">
        <f>SUMIF(Data_Donasi[Nama_Donatur],Data_Donasi[[#This Row],[Nama_Donatur]],Data_Donasi[Nominal])</f>
        <v>45000000</v>
      </c>
    </row>
    <row r="230" spans="1:7" x14ac:dyDescent="0.3">
      <c r="A230" s="14" t="s">
        <v>73</v>
      </c>
      <c r="B230" s="4" t="s">
        <v>173</v>
      </c>
      <c r="C230" s="4" t="s">
        <v>273</v>
      </c>
      <c r="D230" s="9">
        <v>45718</v>
      </c>
      <c r="E230" s="12">
        <v>150000</v>
      </c>
      <c r="F230" t="str" cm="1">
        <f t="array" ref="F230">_xlfn.IFS(G230&lt;5000000, "Bronze", G230&lt;10000000, "Silver", G230&lt;20000000, "Gold", G230&gt;=20000000, "Diamond")</f>
        <v>Diamond</v>
      </c>
      <c r="G230" s="11">
        <f>SUMIF(Data_Donasi[Nama_Donatur],Data_Donasi[[#This Row],[Nama_Donatur]],Data_Donasi[Nominal])</f>
        <v>28750000</v>
      </c>
    </row>
    <row r="231" spans="1:7" x14ac:dyDescent="0.3">
      <c r="A231" s="14" t="s">
        <v>32</v>
      </c>
      <c r="B231" s="4" t="s">
        <v>132</v>
      </c>
      <c r="C231" s="4" t="s">
        <v>232</v>
      </c>
      <c r="D231" s="9">
        <v>45718</v>
      </c>
      <c r="E231" s="12">
        <v>10000000</v>
      </c>
      <c r="F231" t="str" cm="1">
        <f t="array" ref="F231">_xlfn.IFS(G231&lt;5000000, "Bronze", G231&lt;10000000, "Silver", G231&lt;20000000, "Gold", G231&gt;=20000000, "Diamond")</f>
        <v>Diamond</v>
      </c>
      <c r="G231" s="11">
        <f>SUMIF(Data_Donasi[Nama_Donatur],Data_Donasi[[#This Row],[Nama_Donatur]],Data_Donasi[Nominal])</f>
        <v>23800000</v>
      </c>
    </row>
    <row r="232" spans="1:7" x14ac:dyDescent="0.3">
      <c r="A232" s="14" t="s">
        <v>36</v>
      </c>
      <c r="B232" s="4" t="s">
        <v>136</v>
      </c>
      <c r="C232" s="4" t="s">
        <v>236</v>
      </c>
      <c r="D232" s="9">
        <v>45718</v>
      </c>
      <c r="E232" s="12">
        <v>10000000</v>
      </c>
      <c r="F232" t="str" cm="1">
        <f t="array" ref="F232">_xlfn.IFS(G232&lt;5000000, "Bronze", G232&lt;10000000, "Silver", G232&lt;20000000, "Gold", G232&gt;=20000000, "Diamond")</f>
        <v>Diamond</v>
      </c>
      <c r="G232" s="11">
        <f>SUMIF(Data_Donasi[Nama_Donatur],Data_Donasi[[#This Row],[Nama_Donatur]],Data_Donasi[Nominal])</f>
        <v>25500000</v>
      </c>
    </row>
    <row r="233" spans="1:7" x14ac:dyDescent="0.3">
      <c r="A233" s="14" t="s">
        <v>49</v>
      </c>
      <c r="B233" s="4" t="s">
        <v>149</v>
      </c>
      <c r="C233" s="4" t="s">
        <v>249</v>
      </c>
      <c r="D233" s="9">
        <v>45719</v>
      </c>
      <c r="E233" s="12">
        <v>2000000</v>
      </c>
      <c r="F233" t="str" cm="1">
        <f t="array" ref="F233">_xlfn.IFS(G233&lt;5000000, "Bronze", G233&lt;10000000, "Silver", G233&lt;20000000, "Gold", G233&gt;=20000000, "Diamond")</f>
        <v>Bronze</v>
      </c>
      <c r="G233" s="11">
        <f>SUMIF(Data_Donasi[Nama_Donatur],Data_Donasi[[#This Row],[Nama_Donatur]],Data_Donasi[Nominal])</f>
        <v>3050000</v>
      </c>
    </row>
    <row r="234" spans="1:7" x14ac:dyDescent="0.3">
      <c r="A234" s="14" t="s">
        <v>83</v>
      </c>
      <c r="B234" s="4" t="s">
        <v>183</v>
      </c>
      <c r="C234" s="4" t="s">
        <v>283</v>
      </c>
      <c r="D234" s="9">
        <v>45719</v>
      </c>
      <c r="E234" s="12">
        <v>200000</v>
      </c>
      <c r="F234" t="str" cm="1">
        <f t="array" ref="F234">_xlfn.IFS(G234&lt;5000000, "Bronze", G234&lt;10000000, "Silver", G234&lt;20000000, "Gold", G234&gt;=20000000, "Diamond")</f>
        <v>Diamond</v>
      </c>
      <c r="G234" s="11">
        <f>SUMIF(Data_Donasi[Nama_Donatur],Data_Donasi[[#This Row],[Nama_Donatur]],Data_Donasi[Nominal])</f>
        <v>47400000</v>
      </c>
    </row>
    <row r="235" spans="1:7" x14ac:dyDescent="0.3">
      <c r="A235" s="14" t="s">
        <v>13</v>
      </c>
      <c r="B235" s="4" t="s">
        <v>113</v>
      </c>
      <c r="C235" s="4" t="s">
        <v>213</v>
      </c>
      <c r="D235" s="9">
        <v>45719</v>
      </c>
      <c r="E235" s="12">
        <v>50000</v>
      </c>
      <c r="F235" t="str" cm="1">
        <f t="array" ref="F235">_xlfn.IFS(G235&lt;5000000, "Bronze", G235&lt;10000000, "Silver", G235&lt;20000000, "Gold", G235&gt;=20000000, "Diamond")</f>
        <v>Diamond</v>
      </c>
      <c r="G235" s="11">
        <f>SUMIF(Data_Donasi[Nama_Donatur],Data_Donasi[[#This Row],[Nama_Donatur]],Data_Donasi[Nominal])</f>
        <v>46550000</v>
      </c>
    </row>
    <row r="236" spans="1:7" x14ac:dyDescent="0.3">
      <c r="A236" s="14" t="s">
        <v>41</v>
      </c>
      <c r="B236" s="4" t="s">
        <v>141</v>
      </c>
      <c r="C236" s="4" t="s">
        <v>241</v>
      </c>
      <c r="D236" s="9">
        <v>45720</v>
      </c>
      <c r="E236" s="12">
        <v>5000000</v>
      </c>
      <c r="F236" t="str" cm="1">
        <f t="array" ref="F236">_xlfn.IFS(G236&lt;5000000, "Bronze", G236&lt;10000000, "Silver", G236&lt;20000000, "Gold", G236&gt;=20000000, "Diamond")</f>
        <v>Gold</v>
      </c>
      <c r="G236" s="11">
        <f>SUMIF(Data_Donasi[Nama_Donatur],Data_Donasi[[#This Row],[Nama_Donatur]],Data_Donasi[Nominal])</f>
        <v>10400000</v>
      </c>
    </row>
    <row r="237" spans="1:7" x14ac:dyDescent="0.3">
      <c r="A237" s="14" t="s">
        <v>30</v>
      </c>
      <c r="B237" s="4" t="s">
        <v>130</v>
      </c>
      <c r="C237" s="4" t="s">
        <v>230</v>
      </c>
      <c r="D237" s="9">
        <v>45720</v>
      </c>
      <c r="E237" s="12">
        <v>3000000</v>
      </c>
      <c r="F237" t="str" cm="1">
        <f t="array" ref="F237">_xlfn.IFS(G237&lt;5000000, "Bronze", G237&lt;10000000, "Silver", G237&lt;20000000, "Gold", G237&gt;=20000000, "Diamond")</f>
        <v>Diamond</v>
      </c>
      <c r="G237" s="11">
        <f>SUMIF(Data_Donasi[Nama_Donatur],Data_Donasi[[#This Row],[Nama_Donatur]],Data_Donasi[Nominal])</f>
        <v>135600000</v>
      </c>
    </row>
    <row r="238" spans="1:7" x14ac:dyDescent="0.3">
      <c r="A238" s="14" t="s">
        <v>81</v>
      </c>
      <c r="B238" s="4" t="s">
        <v>181</v>
      </c>
      <c r="C238" s="4" t="s">
        <v>281</v>
      </c>
      <c r="D238" s="9">
        <v>45720</v>
      </c>
      <c r="E238" s="12">
        <v>7000000</v>
      </c>
      <c r="F238" t="str" cm="1">
        <f t="array" ref="F238">_xlfn.IFS(G238&lt;5000000, "Bronze", G238&lt;10000000, "Silver", G238&lt;20000000, "Gold", G238&gt;=20000000, "Diamond")</f>
        <v>Diamond</v>
      </c>
      <c r="G238" s="11">
        <f>SUMIF(Data_Donasi[Nama_Donatur],Data_Donasi[[#This Row],[Nama_Donatur]],Data_Donasi[Nominal])</f>
        <v>86000000</v>
      </c>
    </row>
    <row r="239" spans="1:7" x14ac:dyDescent="0.3">
      <c r="A239" s="14" t="s">
        <v>80</v>
      </c>
      <c r="B239" s="4" t="s">
        <v>180</v>
      </c>
      <c r="C239" s="4" t="s">
        <v>280</v>
      </c>
      <c r="D239" s="9">
        <v>45720</v>
      </c>
      <c r="E239" s="12">
        <v>20000000</v>
      </c>
      <c r="F239" t="str" cm="1">
        <f t="array" ref="F239">_xlfn.IFS(G239&lt;5000000, "Bronze", G239&lt;10000000, "Silver", G239&lt;20000000, "Gold", G239&gt;=20000000, "Diamond")</f>
        <v>Diamond</v>
      </c>
      <c r="G239" s="11">
        <f>SUMIF(Data_Donasi[Nama_Donatur],Data_Donasi[[#This Row],[Nama_Donatur]],Data_Donasi[Nominal])</f>
        <v>57850000</v>
      </c>
    </row>
    <row r="240" spans="1:7" x14ac:dyDescent="0.3">
      <c r="A240" s="14" t="s">
        <v>48</v>
      </c>
      <c r="B240" s="4" t="s">
        <v>148</v>
      </c>
      <c r="C240" s="4" t="s">
        <v>248</v>
      </c>
      <c r="D240" s="9">
        <v>45720</v>
      </c>
      <c r="E240" s="12">
        <v>5000000</v>
      </c>
      <c r="F240" t="str" cm="1">
        <f t="array" ref="F240">_xlfn.IFS(G240&lt;5000000, "Bronze", G240&lt;10000000, "Silver", G240&lt;20000000, "Gold", G240&gt;=20000000, "Diamond")</f>
        <v>Diamond</v>
      </c>
      <c r="G240" s="11">
        <f>SUMIF(Data_Donasi[Nama_Donatur],Data_Donasi[[#This Row],[Nama_Donatur]],Data_Donasi[Nominal])</f>
        <v>41150000</v>
      </c>
    </row>
    <row r="241" spans="1:7" x14ac:dyDescent="0.3">
      <c r="A241" s="14" t="s">
        <v>95</v>
      </c>
      <c r="B241" s="4" t="s">
        <v>195</v>
      </c>
      <c r="C241" s="4" t="s">
        <v>295</v>
      </c>
      <c r="D241" s="9">
        <v>45720</v>
      </c>
      <c r="E241" s="12">
        <v>20000000</v>
      </c>
      <c r="F241" t="str" cm="1">
        <f t="array" ref="F241">_xlfn.IFS(G241&lt;5000000, "Bronze", G241&lt;10000000, "Silver", G241&lt;20000000, "Gold", G241&gt;=20000000, "Diamond")</f>
        <v>Diamond</v>
      </c>
      <c r="G241" s="11">
        <f>SUMIF(Data_Donasi[Nama_Donatur],Data_Donasi[[#This Row],[Nama_Donatur]],Data_Donasi[Nominal])</f>
        <v>30000000</v>
      </c>
    </row>
    <row r="242" spans="1:7" x14ac:dyDescent="0.3">
      <c r="A242" s="14" t="s">
        <v>56</v>
      </c>
      <c r="B242" s="4" t="s">
        <v>156</v>
      </c>
      <c r="C242" s="4" t="s">
        <v>256</v>
      </c>
      <c r="D242" s="9">
        <v>45721</v>
      </c>
      <c r="E242" s="12">
        <v>5000000</v>
      </c>
      <c r="F242" t="str" cm="1">
        <f t="array" ref="F242">_xlfn.IFS(G242&lt;5000000, "Bronze", G242&lt;10000000, "Silver", G242&lt;20000000, "Gold", G242&gt;=20000000, "Diamond")</f>
        <v>Diamond</v>
      </c>
      <c r="G242" s="11">
        <f>SUMIF(Data_Donasi[Nama_Donatur],Data_Donasi[[#This Row],[Nama_Donatur]],Data_Donasi[Nominal])</f>
        <v>49000000</v>
      </c>
    </row>
    <row r="243" spans="1:7" x14ac:dyDescent="0.3">
      <c r="A243" s="14" t="s">
        <v>74</v>
      </c>
      <c r="B243" s="4" t="s">
        <v>174</v>
      </c>
      <c r="C243" s="4" t="s">
        <v>274</v>
      </c>
      <c r="D243" s="9">
        <v>45722</v>
      </c>
      <c r="E243" s="12">
        <v>100000</v>
      </c>
      <c r="F243" t="str" cm="1">
        <f t="array" ref="F243">_xlfn.IFS(G243&lt;5000000, "Bronze", G243&lt;10000000, "Silver", G243&lt;20000000, "Gold", G243&gt;=20000000, "Diamond")</f>
        <v>Diamond</v>
      </c>
      <c r="G243" s="11">
        <f>SUMIF(Data_Donasi[Nama_Donatur],Data_Donasi[[#This Row],[Nama_Donatur]],Data_Donasi[Nominal])</f>
        <v>57450000</v>
      </c>
    </row>
    <row r="244" spans="1:7" x14ac:dyDescent="0.3">
      <c r="A244" s="14" t="s">
        <v>23</v>
      </c>
      <c r="B244" s="4" t="s">
        <v>123</v>
      </c>
      <c r="C244" s="4" t="s">
        <v>223</v>
      </c>
      <c r="D244" s="9">
        <v>45722</v>
      </c>
      <c r="E244" s="12">
        <v>200000</v>
      </c>
      <c r="F244" t="str" cm="1">
        <f t="array" ref="F244">_xlfn.IFS(G244&lt;5000000, "Bronze", G244&lt;10000000, "Silver", G244&lt;20000000, "Gold", G244&gt;=20000000, "Diamond")</f>
        <v>Diamond</v>
      </c>
      <c r="G244" s="11">
        <f>SUMIF(Data_Donasi[Nama_Donatur],Data_Donasi[[#This Row],[Nama_Donatur]],Data_Donasi[Nominal])</f>
        <v>55250000</v>
      </c>
    </row>
    <row r="245" spans="1:7" x14ac:dyDescent="0.3">
      <c r="A245" s="14" t="s">
        <v>22</v>
      </c>
      <c r="B245" s="4" t="s">
        <v>122</v>
      </c>
      <c r="C245" s="4" t="s">
        <v>222</v>
      </c>
      <c r="D245" s="9">
        <v>45722</v>
      </c>
      <c r="E245" s="12">
        <v>500000</v>
      </c>
      <c r="F245" t="str" cm="1">
        <f t="array" ref="F245">_xlfn.IFS(G245&lt;5000000, "Bronze", G245&lt;10000000, "Silver", G245&lt;20000000, "Gold", G245&gt;=20000000, "Diamond")</f>
        <v>Diamond</v>
      </c>
      <c r="G245" s="11">
        <f>SUMIF(Data_Donasi[Nama_Donatur],Data_Donasi[[#This Row],[Nama_Donatur]],Data_Donasi[Nominal])</f>
        <v>67900000</v>
      </c>
    </row>
    <row r="246" spans="1:7" x14ac:dyDescent="0.3">
      <c r="A246" s="14" t="s">
        <v>54</v>
      </c>
      <c r="B246" s="4" t="s">
        <v>154</v>
      </c>
      <c r="C246" s="4" t="s">
        <v>254</v>
      </c>
      <c r="D246" s="9">
        <v>45722</v>
      </c>
      <c r="E246" s="12">
        <v>5000000</v>
      </c>
      <c r="F246" t="str" cm="1">
        <f t="array" ref="F246">_xlfn.IFS(G246&lt;5000000, "Bronze", G246&lt;10000000, "Silver", G246&lt;20000000, "Gold", G246&gt;=20000000, "Diamond")</f>
        <v>Silver</v>
      </c>
      <c r="G246" s="11">
        <f>SUMIF(Data_Donasi[Nama_Donatur],Data_Donasi[[#This Row],[Nama_Donatur]],Data_Donasi[Nominal])</f>
        <v>7500000</v>
      </c>
    </row>
    <row r="247" spans="1:7" x14ac:dyDescent="0.3">
      <c r="A247" s="14" t="s">
        <v>59</v>
      </c>
      <c r="B247" s="4" t="s">
        <v>159</v>
      </c>
      <c r="C247" s="4" t="s">
        <v>259</v>
      </c>
      <c r="D247" s="9">
        <v>45722</v>
      </c>
      <c r="E247" s="12">
        <v>1000000</v>
      </c>
      <c r="F247" t="str" cm="1">
        <f t="array" ref="F247">_xlfn.IFS(G247&lt;5000000, "Bronze", G247&lt;10000000, "Silver", G247&lt;20000000, "Gold", G247&gt;=20000000, "Diamond")</f>
        <v>Diamond</v>
      </c>
      <c r="G247" s="11">
        <f>SUMIF(Data_Donasi[Nama_Donatur],Data_Donasi[[#This Row],[Nama_Donatur]],Data_Donasi[Nominal])</f>
        <v>22850000</v>
      </c>
    </row>
    <row r="248" spans="1:7" x14ac:dyDescent="0.3">
      <c r="A248" s="14" t="s">
        <v>24</v>
      </c>
      <c r="B248" s="4" t="s">
        <v>124</v>
      </c>
      <c r="C248" s="4" t="s">
        <v>224</v>
      </c>
      <c r="D248" s="9">
        <v>45723</v>
      </c>
      <c r="E248" s="12">
        <v>200000</v>
      </c>
      <c r="F248" t="str" cm="1">
        <f t="array" ref="F248">_xlfn.IFS(G248&lt;5000000, "Bronze", G248&lt;10000000, "Silver", G248&lt;20000000, "Gold", G248&gt;=20000000, "Diamond")</f>
        <v>Diamond</v>
      </c>
      <c r="G248" s="11">
        <f>SUMIF(Data_Donasi[Nama_Donatur],Data_Donasi[[#This Row],[Nama_Donatur]],Data_Donasi[Nominal])</f>
        <v>37700000</v>
      </c>
    </row>
    <row r="249" spans="1:7" x14ac:dyDescent="0.3">
      <c r="A249" s="14" t="s">
        <v>18</v>
      </c>
      <c r="B249" s="4" t="s">
        <v>118</v>
      </c>
      <c r="C249" s="4" t="s">
        <v>218</v>
      </c>
      <c r="D249" s="9">
        <v>45724</v>
      </c>
      <c r="E249" s="12">
        <v>5000000</v>
      </c>
      <c r="F249" t="str" cm="1">
        <f t="array" ref="F249">_xlfn.IFS(G249&lt;5000000, "Bronze", G249&lt;10000000, "Silver", G249&lt;20000000, "Gold", G249&gt;=20000000, "Diamond")</f>
        <v>Diamond</v>
      </c>
      <c r="G249" s="11">
        <f>SUMIF(Data_Donasi[Nama_Donatur],Data_Donasi[[#This Row],[Nama_Donatur]],Data_Donasi[Nominal])</f>
        <v>30000000</v>
      </c>
    </row>
    <row r="250" spans="1:7" x14ac:dyDescent="0.3">
      <c r="A250" s="14" t="s">
        <v>94</v>
      </c>
      <c r="B250" s="4" t="s">
        <v>194</v>
      </c>
      <c r="C250" s="4" t="s">
        <v>294</v>
      </c>
      <c r="D250" s="9">
        <v>45724</v>
      </c>
      <c r="E250" s="12">
        <v>50000</v>
      </c>
      <c r="F250" t="str" cm="1">
        <f t="array" ref="F250">_xlfn.IFS(G250&lt;5000000, "Bronze", G250&lt;10000000, "Silver", G250&lt;20000000, "Gold", G250&gt;=20000000, "Diamond")</f>
        <v>Diamond</v>
      </c>
      <c r="G250" s="11">
        <f>SUMIF(Data_Donasi[Nama_Donatur],Data_Donasi[[#This Row],[Nama_Donatur]],Data_Donasi[Nominal])</f>
        <v>26650000</v>
      </c>
    </row>
    <row r="251" spans="1:7" x14ac:dyDescent="0.3">
      <c r="A251" s="14" t="s">
        <v>35</v>
      </c>
      <c r="B251" s="4" t="s">
        <v>135</v>
      </c>
      <c r="C251" s="4" t="s">
        <v>235</v>
      </c>
      <c r="D251" s="9">
        <v>45725</v>
      </c>
      <c r="E251" s="12">
        <v>7000000</v>
      </c>
      <c r="F251" t="str" cm="1">
        <f t="array" ref="F251">_xlfn.IFS(G251&lt;5000000, "Bronze", G251&lt;10000000, "Silver", G251&lt;20000000, "Gold", G251&gt;=20000000, "Diamond")</f>
        <v>Diamond</v>
      </c>
      <c r="G251" s="11">
        <f>SUMIF(Data_Donasi[Nama_Donatur],Data_Donasi[[#This Row],[Nama_Donatur]],Data_Donasi[Nominal])</f>
        <v>97200000</v>
      </c>
    </row>
    <row r="252" spans="1:7" x14ac:dyDescent="0.3">
      <c r="A252" s="14" t="s">
        <v>32</v>
      </c>
      <c r="B252" s="4" t="s">
        <v>132</v>
      </c>
      <c r="C252" s="4" t="s">
        <v>232</v>
      </c>
      <c r="D252" s="9">
        <v>45725</v>
      </c>
      <c r="E252" s="12">
        <v>150000</v>
      </c>
      <c r="F252" t="str" cm="1">
        <f t="array" ref="F252">_xlfn.IFS(G252&lt;5000000, "Bronze", G252&lt;10000000, "Silver", G252&lt;20000000, "Gold", G252&gt;=20000000, "Diamond")</f>
        <v>Diamond</v>
      </c>
      <c r="G252" s="11">
        <f>SUMIF(Data_Donasi[Nama_Donatur],Data_Donasi[[#This Row],[Nama_Donatur]],Data_Donasi[Nominal])</f>
        <v>23800000</v>
      </c>
    </row>
    <row r="253" spans="1:7" x14ac:dyDescent="0.3">
      <c r="A253" s="14" t="s">
        <v>44</v>
      </c>
      <c r="B253" s="4" t="s">
        <v>144</v>
      </c>
      <c r="C253" s="4" t="s">
        <v>244</v>
      </c>
      <c r="D253" s="9">
        <v>45725</v>
      </c>
      <c r="E253" s="12">
        <v>5000000</v>
      </c>
      <c r="F253" t="str" cm="1">
        <f t="array" ref="F253">_xlfn.IFS(G253&lt;5000000, "Bronze", G253&lt;10000000, "Silver", G253&lt;20000000, "Gold", G253&gt;=20000000, "Diamond")</f>
        <v>Diamond</v>
      </c>
      <c r="G253" s="11">
        <f>SUMIF(Data_Donasi[Nama_Donatur],Data_Donasi[[#This Row],[Nama_Donatur]],Data_Donasi[Nominal])</f>
        <v>66400000</v>
      </c>
    </row>
    <row r="254" spans="1:7" x14ac:dyDescent="0.3">
      <c r="A254" s="14" t="s">
        <v>8</v>
      </c>
      <c r="B254" s="4" t="s">
        <v>108</v>
      </c>
      <c r="C254" s="4" t="s">
        <v>208</v>
      </c>
      <c r="D254" s="9">
        <v>45726</v>
      </c>
      <c r="E254" s="12">
        <v>250000</v>
      </c>
      <c r="F254" t="str" cm="1">
        <f t="array" ref="F254">_xlfn.IFS(G254&lt;5000000, "Bronze", G254&lt;10000000, "Silver", G254&lt;20000000, "Gold", G254&gt;=20000000, "Diamond")</f>
        <v>Diamond</v>
      </c>
      <c r="G254" s="11">
        <f>SUMIF(Data_Donasi[Nama_Donatur],Data_Donasi[[#This Row],[Nama_Donatur]],Data_Donasi[Nominal])</f>
        <v>31750000</v>
      </c>
    </row>
    <row r="255" spans="1:7" x14ac:dyDescent="0.3">
      <c r="A255" s="14" t="s">
        <v>60</v>
      </c>
      <c r="B255" s="4" t="s">
        <v>160</v>
      </c>
      <c r="C255" s="4" t="s">
        <v>260</v>
      </c>
      <c r="D255" s="9">
        <v>45726</v>
      </c>
      <c r="E255" s="12">
        <v>200000</v>
      </c>
      <c r="F255" t="str" cm="1">
        <f t="array" ref="F255">_xlfn.IFS(G255&lt;5000000, "Bronze", G255&lt;10000000, "Silver", G255&lt;20000000, "Gold", G255&gt;=20000000, "Diamond")</f>
        <v>Silver</v>
      </c>
      <c r="G255" s="11">
        <f>SUMIF(Data_Donasi[Nama_Donatur],Data_Donasi[[#This Row],[Nama_Donatur]],Data_Donasi[Nominal])</f>
        <v>9150000</v>
      </c>
    </row>
    <row r="256" spans="1:7" x14ac:dyDescent="0.3">
      <c r="A256" s="14" t="s">
        <v>65</v>
      </c>
      <c r="B256" s="4" t="s">
        <v>165</v>
      </c>
      <c r="C256" s="4" t="s">
        <v>265</v>
      </c>
      <c r="D256" s="9">
        <v>45726</v>
      </c>
      <c r="E256" s="12">
        <v>7000000</v>
      </c>
      <c r="F256" t="str" cm="1">
        <f t="array" ref="F256">_xlfn.IFS(G256&lt;5000000, "Bronze", G256&lt;10000000, "Silver", G256&lt;20000000, "Gold", G256&gt;=20000000, "Diamond")</f>
        <v>Diamond</v>
      </c>
      <c r="G256" s="11">
        <f>SUMIF(Data_Donasi[Nama_Donatur],Data_Donasi[[#This Row],[Nama_Donatur]],Data_Donasi[Nominal])</f>
        <v>40750000</v>
      </c>
    </row>
    <row r="257" spans="1:7" x14ac:dyDescent="0.3">
      <c r="A257" s="14" t="s">
        <v>20</v>
      </c>
      <c r="B257" s="4" t="s">
        <v>120</v>
      </c>
      <c r="C257" s="4" t="s">
        <v>220</v>
      </c>
      <c r="D257" s="9">
        <v>45726</v>
      </c>
      <c r="E257" s="12">
        <v>1000000</v>
      </c>
      <c r="F257" t="str" cm="1">
        <f t="array" ref="F257">_xlfn.IFS(G257&lt;5000000, "Bronze", G257&lt;10000000, "Silver", G257&lt;20000000, "Gold", G257&gt;=20000000, "Diamond")</f>
        <v>Diamond</v>
      </c>
      <c r="G257" s="11">
        <f>SUMIF(Data_Donasi[Nama_Donatur],Data_Donasi[[#This Row],[Nama_Donatur]],Data_Donasi[Nominal])</f>
        <v>25800000</v>
      </c>
    </row>
    <row r="258" spans="1:7" x14ac:dyDescent="0.3">
      <c r="A258" s="14" t="s">
        <v>85</v>
      </c>
      <c r="B258" s="4" t="s">
        <v>185</v>
      </c>
      <c r="C258" s="4" t="s">
        <v>285</v>
      </c>
      <c r="D258" s="9">
        <v>45726</v>
      </c>
      <c r="E258" s="12">
        <v>1000000</v>
      </c>
      <c r="F258" t="str" cm="1">
        <f t="array" ref="F258">_xlfn.IFS(G258&lt;5000000, "Bronze", G258&lt;10000000, "Silver", G258&lt;20000000, "Gold", G258&gt;=20000000, "Diamond")</f>
        <v>Gold</v>
      </c>
      <c r="G258" s="11">
        <f>SUMIF(Data_Donasi[Nama_Donatur],Data_Donasi[[#This Row],[Nama_Donatur]],Data_Donasi[Nominal])</f>
        <v>18900000</v>
      </c>
    </row>
    <row r="259" spans="1:7" x14ac:dyDescent="0.3">
      <c r="A259" s="14" t="s">
        <v>69</v>
      </c>
      <c r="B259" s="4" t="s">
        <v>169</v>
      </c>
      <c r="C259" s="4" t="s">
        <v>269</v>
      </c>
      <c r="D259" s="9">
        <v>45727</v>
      </c>
      <c r="E259" s="12">
        <v>250000</v>
      </c>
      <c r="F259" t="str" cm="1">
        <f t="array" ref="F259">_xlfn.IFS(G259&lt;5000000, "Bronze", G259&lt;10000000, "Silver", G259&lt;20000000, "Gold", G259&gt;=20000000, "Diamond")</f>
        <v>Diamond</v>
      </c>
      <c r="G259" s="11">
        <f>SUMIF(Data_Donasi[Nama_Donatur],Data_Donasi[[#This Row],[Nama_Donatur]],Data_Donasi[Nominal])</f>
        <v>53350000</v>
      </c>
    </row>
    <row r="260" spans="1:7" x14ac:dyDescent="0.3">
      <c r="A260" s="14" t="s">
        <v>62</v>
      </c>
      <c r="B260" s="4" t="s">
        <v>162</v>
      </c>
      <c r="C260" s="4" t="s">
        <v>262</v>
      </c>
      <c r="D260" s="9">
        <v>45727</v>
      </c>
      <c r="E260" s="12">
        <v>2000000</v>
      </c>
      <c r="F260" t="str" cm="1">
        <f t="array" ref="F260">_xlfn.IFS(G260&lt;5000000, "Bronze", G260&lt;10000000, "Silver", G260&lt;20000000, "Gold", G260&gt;=20000000, "Diamond")</f>
        <v>Silver</v>
      </c>
      <c r="G260" s="11">
        <f>SUMIF(Data_Donasi[Nama_Donatur],Data_Donasi[[#This Row],[Nama_Donatur]],Data_Donasi[Nominal])</f>
        <v>7850000</v>
      </c>
    </row>
    <row r="261" spans="1:7" x14ac:dyDescent="0.3">
      <c r="A261" s="14" t="s">
        <v>59</v>
      </c>
      <c r="B261" s="4" t="s">
        <v>159</v>
      </c>
      <c r="C261" s="4" t="s">
        <v>259</v>
      </c>
      <c r="D261" s="9">
        <v>45727</v>
      </c>
      <c r="E261" s="12">
        <v>250000</v>
      </c>
      <c r="F261" t="str" cm="1">
        <f t="array" ref="F261">_xlfn.IFS(G261&lt;5000000, "Bronze", G261&lt;10000000, "Silver", G261&lt;20000000, "Gold", G261&gt;=20000000, "Diamond")</f>
        <v>Diamond</v>
      </c>
      <c r="G261" s="11">
        <f>SUMIF(Data_Donasi[Nama_Donatur],Data_Donasi[[#This Row],[Nama_Donatur]],Data_Donasi[Nominal])</f>
        <v>22850000</v>
      </c>
    </row>
    <row r="262" spans="1:7" x14ac:dyDescent="0.3">
      <c r="A262" s="14" t="s">
        <v>15</v>
      </c>
      <c r="B262" s="4" t="s">
        <v>115</v>
      </c>
      <c r="C262" s="4" t="s">
        <v>215</v>
      </c>
      <c r="D262" s="9">
        <v>45727</v>
      </c>
      <c r="E262" s="12">
        <v>5000000</v>
      </c>
      <c r="F262" t="str" cm="1">
        <f t="array" ref="F262">_xlfn.IFS(G262&lt;5000000, "Bronze", G262&lt;10000000, "Silver", G262&lt;20000000, "Gold", G262&gt;=20000000, "Diamond")</f>
        <v>Diamond</v>
      </c>
      <c r="G262" s="11">
        <f>SUMIF(Data_Donasi[Nama_Donatur],Data_Donasi[[#This Row],[Nama_Donatur]],Data_Donasi[Nominal])</f>
        <v>84750000</v>
      </c>
    </row>
    <row r="263" spans="1:7" x14ac:dyDescent="0.3">
      <c r="A263" s="14" t="s">
        <v>27</v>
      </c>
      <c r="B263" s="4" t="s">
        <v>127</v>
      </c>
      <c r="C263" s="4" t="s">
        <v>227</v>
      </c>
      <c r="D263" s="9">
        <v>45728</v>
      </c>
      <c r="E263" s="12">
        <v>200000</v>
      </c>
      <c r="F263" t="str" cm="1">
        <f t="array" ref="F263">_xlfn.IFS(G263&lt;5000000, "Bronze", G263&lt;10000000, "Silver", G263&lt;20000000, "Gold", G263&gt;=20000000, "Diamond")</f>
        <v>Diamond</v>
      </c>
      <c r="G263" s="11">
        <f>SUMIF(Data_Donasi[Nama_Donatur],Data_Donasi[[#This Row],[Nama_Donatur]],Data_Donasi[Nominal])</f>
        <v>29050000</v>
      </c>
    </row>
    <row r="264" spans="1:7" x14ac:dyDescent="0.3">
      <c r="A264" s="14" t="s">
        <v>70</v>
      </c>
      <c r="B264" s="4" t="s">
        <v>170</v>
      </c>
      <c r="C264" s="4" t="s">
        <v>270</v>
      </c>
      <c r="D264" s="9">
        <v>45728</v>
      </c>
      <c r="E264" s="12">
        <v>250000</v>
      </c>
      <c r="F264" t="str" cm="1">
        <f t="array" ref="F264">_xlfn.IFS(G264&lt;5000000, "Bronze", G264&lt;10000000, "Silver", G264&lt;20000000, "Gold", G264&gt;=20000000, "Diamond")</f>
        <v>Diamond</v>
      </c>
      <c r="G264" s="11">
        <f>SUMIF(Data_Donasi[Nama_Donatur],Data_Donasi[[#This Row],[Nama_Donatur]],Data_Donasi[Nominal])</f>
        <v>21600000</v>
      </c>
    </row>
    <row r="265" spans="1:7" x14ac:dyDescent="0.3">
      <c r="A265" s="14" t="s">
        <v>103</v>
      </c>
      <c r="B265" s="4" t="s">
        <v>203</v>
      </c>
      <c r="C265" s="4" t="s">
        <v>303</v>
      </c>
      <c r="D265" s="9">
        <v>45728</v>
      </c>
      <c r="E265" s="12">
        <v>100000</v>
      </c>
      <c r="F265" t="str" cm="1">
        <f t="array" ref="F265">_xlfn.IFS(G265&lt;5000000, "Bronze", G265&lt;10000000, "Silver", G265&lt;20000000, "Gold", G265&gt;=20000000, "Diamond")</f>
        <v>Diamond</v>
      </c>
      <c r="G265" s="11">
        <f>SUMIF(Data_Donasi[Nama_Donatur],Data_Donasi[[#This Row],[Nama_Donatur]],Data_Donasi[Nominal])</f>
        <v>50550000</v>
      </c>
    </row>
    <row r="266" spans="1:7" x14ac:dyDescent="0.3">
      <c r="A266" s="14" t="s">
        <v>33</v>
      </c>
      <c r="B266" s="4" t="s">
        <v>133</v>
      </c>
      <c r="C266" s="4" t="s">
        <v>233</v>
      </c>
      <c r="D266" s="9">
        <v>45729</v>
      </c>
      <c r="E266" s="12">
        <v>5000000</v>
      </c>
      <c r="F266" t="str" cm="1">
        <f t="array" ref="F266">_xlfn.IFS(G266&lt;5000000, "Bronze", G266&lt;10000000, "Silver", G266&lt;20000000, "Gold", G266&gt;=20000000, "Diamond")</f>
        <v>Diamond</v>
      </c>
      <c r="G266" s="11">
        <f>SUMIF(Data_Donasi[Nama_Donatur],Data_Donasi[[#This Row],[Nama_Donatur]],Data_Donasi[Nominal])</f>
        <v>56850000</v>
      </c>
    </row>
    <row r="267" spans="1:7" x14ac:dyDescent="0.3">
      <c r="A267" s="14" t="s">
        <v>73</v>
      </c>
      <c r="B267" s="4" t="s">
        <v>173</v>
      </c>
      <c r="C267" s="4" t="s">
        <v>273</v>
      </c>
      <c r="D267" s="9">
        <v>45729</v>
      </c>
      <c r="E267" s="12">
        <v>50000</v>
      </c>
      <c r="F267" t="str" cm="1">
        <f t="array" ref="F267">_xlfn.IFS(G267&lt;5000000, "Bronze", G267&lt;10000000, "Silver", G267&lt;20000000, "Gold", G267&gt;=20000000, "Diamond")</f>
        <v>Diamond</v>
      </c>
      <c r="G267" s="11">
        <f>SUMIF(Data_Donasi[Nama_Donatur],Data_Donasi[[#This Row],[Nama_Donatur]],Data_Donasi[Nominal])</f>
        <v>28750000</v>
      </c>
    </row>
    <row r="268" spans="1:7" x14ac:dyDescent="0.3">
      <c r="A268" s="14" t="s">
        <v>55</v>
      </c>
      <c r="B268" s="4" t="s">
        <v>155</v>
      </c>
      <c r="C268" s="4" t="s">
        <v>255</v>
      </c>
      <c r="D268" s="9">
        <v>45729</v>
      </c>
      <c r="E268" s="12">
        <v>1000000</v>
      </c>
      <c r="F268" t="str" cm="1">
        <f t="array" ref="F268">_xlfn.IFS(G268&lt;5000000, "Bronze", G268&lt;10000000, "Silver", G268&lt;20000000, "Gold", G268&gt;=20000000, "Diamond")</f>
        <v>Diamond</v>
      </c>
      <c r="G268" s="11">
        <f>SUMIF(Data_Donasi[Nama_Donatur],Data_Donasi[[#This Row],[Nama_Donatur]],Data_Donasi[Nominal])</f>
        <v>50950000</v>
      </c>
    </row>
    <row r="269" spans="1:7" x14ac:dyDescent="0.3">
      <c r="A269" s="14" t="s">
        <v>51</v>
      </c>
      <c r="B269" s="4" t="s">
        <v>151</v>
      </c>
      <c r="C269" s="4" t="s">
        <v>251</v>
      </c>
      <c r="D269" s="9">
        <v>45729</v>
      </c>
      <c r="E269" s="12">
        <v>2000000</v>
      </c>
      <c r="F269" t="str" cm="1">
        <f t="array" ref="F269">_xlfn.IFS(G269&lt;5000000, "Bronze", G269&lt;10000000, "Silver", G269&lt;20000000, "Gold", G269&gt;=20000000, "Diamond")</f>
        <v>Diamond</v>
      </c>
      <c r="G269" s="11">
        <f>SUMIF(Data_Donasi[Nama_Donatur],Data_Donasi[[#This Row],[Nama_Donatur]],Data_Donasi[Nominal])</f>
        <v>46450000</v>
      </c>
    </row>
    <row r="270" spans="1:7" x14ac:dyDescent="0.3">
      <c r="A270" s="14" t="s">
        <v>25</v>
      </c>
      <c r="B270" s="4" t="s">
        <v>125</v>
      </c>
      <c r="C270" s="4" t="s">
        <v>225</v>
      </c>
      <c r="D270" s="9">
        <v>45729</v>
      </c>
      <c r="E270" s="12">
        <v>3000000</v>
      </c>
      <c r="F270" t="str" cm="1">
        <f t="array" ref="F270">_xlfn.IFS(G270&lt;5000000, "Bronze", G270&lt;10000000, "Silver", G270&lt;20000000, "Gold", G270&gt;=20000000, "Diamond")</f>
        <v>Diamond</v>
      </c>
      <c r="G270" s="11">
        <f>SUMIF(Data_Donasi[Nama_Donatur],Data_Donasi[[#This Row],[Nama_Donatur]],Data_Donasi[Nominal])</f>
        <v>41700000</v>
      </c>
    </row>
    <row r="271" spans="1:7" x14ac:dyDescent="0.3">
      <c r="A271" s="14" t="s">
        <v>23</v>
      </c>
      <c r="B271" s="4" t="s">
        <v>123</v>
      </c>
      <c r="C271" s="4" t="s">
        <v>223</v>
      </c>
      <c r="D271" s="9">
        <v>45730</v>
      </c>
      <c r="E271" s="12">
        <v>1000000</v>
      </c>
      <c r="F271" t="str" cm="1">
        <f t="array" ref="F271">_xlfn.IFS(G271&lt;5000000, "Bronze", G271&lt;10000000, "Silver", G271&lt;20000000, "Gold", G271&gt;=20000000, "Diamond")</f>
        <v>Diamond</v>
      </c>
      <c r="G271" s="11">
        <f>SUMIF(Data_Donasi[Nama_Donatur],Data_Donasi[[#This Row],[Nama_Donatur]],Data_Donasi[Nominal])</f>
        <v>55250000</v>
      </c>
    </row>
    <row r="272" spans="1:7" x14ac:dyDescent="0.3">
      <c r="A272" s="14" t="s">
        <v>64</v>
      </c>
      <c r="B272" s="4" t="s">
        <v>164</v>
      </c>
      <c r="C272" s="4" t="s">
        <v>264</v>
      </c>
      <c r="D272" s="9">
        <v>45730</v>
      </c>
      <c r="E272" s="12">
        <v>7000000</v>
      </c>
      <c r="F272" t="str" cm="1">
        <f t="array" ref="F272">_xlfn.IFS(G272&lt;5000000, "Bronze", G272&lt;10000000, "Silver", G272&lt;20000000, "Gold", G272&gt;=20000000, "Diamond")</f>
        <v>Diamond</v>
      </c>
      <c r="G272" s="11">
        <f>SUMIF(Data_Donasi[Nama_Donatur],Data_Donasi[[#This Row],[Nama_Donatur]],Data_Donasi[Nominal])</f>
        <v>27750000</v>
      </c>
    </row>
    <row r="273" spans="1:7" x14ac:dyDescent="0.3">
      <c r="A273" s="14" t="s">
        <v>86</v>
      </c>
      <c r="B273" s="4" t="s">
        <v>186</v>
      </c>
      <c r="C273" s="4" t="s">
        <v>286</v>
      </c>
      <c r="D273" s="9">
        <v>45730</v>
      </c>
      <c r="E273" s="12">
        <v>20000000</v>
      </c>
      <c r="F273" t="str" cm="1">
        <f t="array" ref="F273">_xlfn.IFS(G273&lt;5000000, "Bronze", G273&lt;10000000, "Silver", G273&lt;20000000, "Gold", G273&gt;=20000000, "Diamond")</f>
        <v>Diamond</v>
      </c>
      <c r="G273" s="11">
        <f>SUMIF(Data_Donasi[Nama_Donatur],Data_Donasi[[#This Row],[Nama_Donatur]],Data_Donasi[Nominal])</f>
        <v>50500000</v>
      </c>
    </row>
    <row r="274" spans="1:7" x14ac:dyDescent="0.3">
      <c r="A274" s="14" t="s">
        <v>43</v>
      </c>
      <c r="B274" s="4" t="s">
        <v>143</v>
      </c>
      <c r="C274" s="4" t="s">
        <v>243</v>
      </c>
      <c r="D274" s="9">
        <v>45730</v>
      </c>
      <c r="E274" s="12">
        <v>7000000</v>
      </c>
      <c r="F274" t="str" cm="1">
        <f t="array" ref="F274">_xlfn.IFS(G274&lt;5000000, "Bronze", G274&lt;10000000, "Silver", G274&lt;20000000, "Gold", G274&gt;=20000000, "Diamond")</f>
        <v>Diamond</v>
      </c>
      <c r="G274" s="11">
        <f>SUMIF(Data_Donasi[Nama_Donatur],Data_Donasi[[#This Row],[Nama_Donatur]],Data_Donasi[Nominal])</f>
        <v>32400000</v>
      </c>
    </row>
    <row r="275" spans="1:7" x14ac:dyDescent="0.3">
      <c r="A275" s="14" t="s">
        <v>96</v>
      </c>
      <c r="B275" s="4" t="s">
        <v>196</v>
      </c>
      <c r="C275" s="4" t="s">
        <v>296</v>
      </c>
      <c r="D275" s="9">
        <v>45730</v>
      </c>
      <c r="E275" s="12">
        <v>7000000</v>
      </c>
      <c r="F275" t="str" cm="1">
        <f t="array" ref="F275">_xlfn.IFS(G275&lt;5000000, "Bronze", G275&lt;10000000, "Silver", G275&lt;20000000, "Gold", G275&gt;=20000000, "Diamond")</f>
        <v>Diamond</v>
      </c>
      <c r="G275" s="11">
        <f>SUMIF(Data_Donasi[Nama_Donatur],Data_Donasi[[#This Row],[Nama_Donatur]],Data_Donasi[Nominal])</f>
        <v>24200000</v>
      </c>
    </row>
    <row r="276" spans="1:7" x14ac:dyDescent="0.3">
      <c r="A276" s="14" t="s">
        <v>61</v>
      </c>
      <c r="B276" s="4" t="s">
        <v>161</v>
      </c>
      <c r="C276" s="4" t="s">
        <v>261</v>
      </c>
      <c r="D276" s="9">
        <v>45730</v>
      </c>
      <c r="E276" s="12">
        <v>200000</v>
      </c>
      <c r="F276" t="str" cm="1">
        <f t="array" ref="F276">_xlfn.IFS(G276&lt;5000000, "Bronze", G276&lt;10000000, "Silver", G276&lt;20000000, "Gold", G276&gt;=20000000, "Diamond")</f>
        <v>Diamond</v>
      </c>
      <c r="G276" s="11">
        <f>SUMIF(Data_Donasi[Nama_Donatur],Data_Donasi[[#This Row],[Nama_Donatur]],Data_Donasi[Nominal])</f>
        <v>30650000</v>
      </c>
    </row>
    <row r="277" spans="1:7" x14ac:dyDescent="0.3">
      <c r="A277" s="14" t="s">
        <v>99</v>
      </c>
      <c r="B277" s="4" t="s">
        <v>199</v>
      </c>
      <c r="C277" s="4" t="s">
        <v>299</v>
      </c>
      <c r="D277" s="9">
        <v>45730</v>
      </c>
      <c r="E277" s="12">
        <v>3000000</v>
      </c>
      <c r="F277" t="str" cm="1">
        <f t="array" ref="F277">_xlfn.IFS(G277&lt;5000000, "Bronze", G277&lt;10000000, "Silver", G277&lt;20000000, "Gold", G277&gt;=20000000, "Diamond")</f>
        <v>Diamond</v>
      </c>
      <c r="G277" s="11">
        <f>SUMIF(Data_Donasi[Nama_Donatur],Data_Donasi[[#This Row],[Nama_Donatur]],Data_Donasi[Nominal])</f>
        <v>26300000</v>
      </c>
    </row>
    <row r="278" spans="1:7" x14ac:dyDescent="0.3">
      <c r="A278" s="14" t="s">
        <v>39</v>
      </c>
      <c r="B278" s="4" t="s">
        <v>139</v>
      </c>
      <c r="C278" s="4" t="s">
        <v>239</v>
      </c>
      <c r="D278" s="9">
        <v>45731</v>
      </c>
      <c r="E278" s="12">
        <v>20000000</v>
      </c>
      <c r="F278" t="str" cm="1">
        <f t="array" ref="F278">_xlfn.IFS(G278&lt;5000000, "Bronze", G278&lt;10000000, "Silver", G278&lt;20000000, "Gold", G278&gt;=20000000, "Diamond")</f>
        <v>Diamond</v>
      </c>
      <c r="G278" s="11">
        <f>SUMIF(Data_Donasi[Nama_Donatur],Data_Donasi[[#This Row],[Nama_Donatur]],Data_Donasi[Nominal])</f>
        <v>50750000</v>
      </c>
    </row>
    <row r="279" spans="1:7" x14ac:dyDescent="0.3">
      <c r="A279" s="14" t="s">
        <v>26</v>
      </c>
      <c r="B279" s="4" t="s">
        <v>126</v>
      </c>
      <c r="C279" s="4" t="s">
        <v>226</v>
      </c>
      <c r="D279" s="9">
        <v>45731</v>
      </c>
      <c r="E279" s="12">
        <v>150000</v>
      </c>
      <c r="F279" t="str" cm="1">
        <f t="array" ref="F279">_xlfn.IFS(G279&lt;5000000, "Bronze", G279&lt;10000000, "Silver", G279&lt;20000000, "Gold", G279&gt;=20000000, "Diamond")</f>
        <v>Diamond</v>
      </c>
      <c r="G279" s="11">
        <f>SUMIF(Data_Donasi[Nama_Donatur],Data_Donasi[[#This Row],[Nama_Donatur]],Data_Donasi[Nominal])</f>
        <v>46450000</v>
      </c>
    </row>
    <row r="280" spans="1:7" x14ac:dyDescent="0.3">
      <c r="A280" s="14" t="s">
        <v>21</v>
      </c>
      <c r="B280" s="4" t="s">
        <v>121</v>
      </c>
      <c r="C280" s="4" t="s">
        <v>221</v>
      </c>
      <c r="D280" s="9">
        <v>45731</v>
      </c>
      <c r="E280" s="12">
        <v>5000000</v>
      </c>
      <c r="F280" t="str" cm="1">
        <f t="array" ref="F280">_xlfn.IFS(G280&lt;5000000, "Bronze", G280&lt;10000000, "Silver", G280&lt;20000000, "Gold", G280&gt;=20000000, "Diamond")</f>
        <v>Diamond</v>
      </c>
      <c r="G280" s="11">
        <f>SUMIF(Data_Donasi[Nama_Donatur],Data_Donasi[[#This Row],[Nama_Donatur]],Data_Donasi[Nominal])</f>
        <v>61950000</v>
      </c>
    </row>
    <row r="281" spans="1:7" x14ac:dyDescent="0.3">
      <c r="A281" s="14" t="s">
        <v>45</v>
      </c>
      <c r="B281" s="4" t="s">
        <v>145</v>
      </c>
      <c r="C281" s="4" t="s">
        <v>245</v>
      </c>
      <c r="D281" s="9">
        <v>45732</v>
      </c>
      <c r="E281" s="12">
        <v>250000</v>
      </c>
      <c r="F281" t="str" cm="1">
        <f t="array" ref="F281">_xlfn.IFS(G281&lt;5000000, "Bronze", G281&lt;10000000, "Silver", G281&lt;20000000, "Gold", G281&gt;=20000000, "Diamond")</f>
        <v>Diamond</v>
      </c>
      <c r="G281" s="11">
        <f>SUMIF(Data_Donasi[Nama_Donatur],Data_Donasi[[#This Row],[Nama_Donatur]],Data_Donasi[Nominal])</f>
        <v>42850000</v>
      </c>
    </row>
    <row r="282" spans="1:7" x14ac:dyDescent="0.3">
      <c r="A282" s="14" t="s">
        <v>65</v>
      </c>
      <c r="B282" s="4" t="s">
        <v>165</v>
      </c>
      <c r="C282" s="4" t="s">
        <v>265</v>
      </c>
      <c r="D282" s="9">
        <v>45732</v>
      </c>
      <c r="E282" s="12">
        <v>50000</v>
      </c>
      <c r="F282" t="str" cm="1">
        <f t="array" ref="F282">_xlfn.IFS(G282&lt;5000000, "Bronze", G282&lt;10000000, "Silver", G282&lt;20000000, "Gold", G282&gt;=20000000, "Diamond")</f>
        <v>Diamond</v>
      </c>
      <c r="G282" s="11">
        <f>SUMIF(Data_Donasi[Nama_Donatur],Data_Donasi[[#This Row],[Nama_Donatur]],Data_Donasi[Nominal])</f>
        <v>40750000</v>
      </c>
    </row>
    <row r="283" spans="1:7" x14ac:dyDescent="0.3">
      <c r="A283" s="14" t="s">
        <v>38</v>
      </c>
      <c r="B283" s="4" t="s">
        <v>138</v>
      </c>
      <c r="C283" s="4" t="s">
        <v>238</v>
      </c>
      <c r="D283" s="9">
        <v>45732</v>
      </c>
      <c r="E283" s="12">
        <v>200000</v>
      </c>
      <c r="F283" t="str" cm="1">
        <f t="array" ref="F283">_xlfn.IFS(G283&lt;5000000, "Bronze", G283&lt;10000000, "Silver", G283&lt;20000000, "Gold", G283&gt;=20000000, "Diamond")</f>
        <v>Diamond</v>
      </c>
      <c r="G283" s="11">
        <f>SUMIF(Data_Donasi[Nama_Donatur],Data_Donasi[[#This Row],[Nama_Donatur]],Data_Donasi[Nominal])</f>
        <v>35400000</v>
      </c>
    </row>
    <row r="284" spans="1:7" x14ac:dyDescent="0.3">
      <c r="A284" s="14" t="s">
        <v>19</v>
      </c>
      <c r="B284" s="4" t="s">
        <v>119</v>
      </c>
      <c r="C284" s="4" t="s">
        <v>219</v>
      </c>
      <c r="D284" s="9">
        <v>45732</v>
      </c>
      <c r="E284" s="12">
        <v>1000000</v>
      </c>
      <c r="F284" t="str" cm="1">
        <f t="array" ref="F284">_xlfn.IFS(G284&lt;5000000, "Bronze", G284&lt;10000000, "Silver", G284&lt;20000000, "Gold", G284&gt;=20000000, "Diamond")</f>
        <v>Diamond</v>
      </c>
      <c r="G284" s="11">
        <f>SUMIF(Data_Donasi[Nama_Donatur],Data_Donasi[[#This Row],[Nama_Donatur]],Data_Donasi[Nominal])</f>
        <v>63400000</v>
      </c>
    </row>
    <row r="285" spans="1:7" x14ac:dyDescent="0.3">
      <c r="A285" s="14" t="s">
        <v>81</v>
      </c>
      <c r="B285" s="4" t="s">
        <v>181</v>
      </c>
      <c r="C285" s="4" t="s">
        <v>281</v>
      </c>
      <c r="D285" s="9">
        <v>45734</v>
      </c>
      <c r="E285" s="12">
        <v>1000000</v>
      </c>
      <c r="F285" t="str" cm="1">
        <f t="array" ref="F285">_xlfn.IFS(G285&lt;5000000, "Bronze", G285&lt;10000000, "Silver", G285&lt;20000000, "Gold", G285&gt;=20000000, "Diamond")</f>
        <v>Diamond</v>
      </c>
      <c r="G285" s="11">
        <f>SUMIF(Data_Donasi[Nama_Donatur],Data_Donasi[[#This Row],[Nama_Donatur]],Data_Donasi[Nominal])</f>
        <v>86000000</v>
      </c>
    </row>
    <row r="286" spans="1:7" x14ac:dyDescent="0.3">
      <c r="A286" s="14" t="s">
        <v>57</v>
      </c>
      <c r="B286" s="4" t="s">
        <v>157</v>
      </c>
      <c r="C286" s="4" t="s">
        <v>257</v>
      </c>
      <c r="D286" s="9">
        <v>45734</v>
      </c>
      <c r="E286" s="12">
        <v>50000</v>
      </c>
      <c r="F286" t="str" cm="1">
        <f t="array" ref="F286">_xlfn.IFS(G286&lt;5000000, "Bronze", G286&lt;10000000, "Silver", G286&lt;20000000, "Gold", G286&gt;=20000000, "Diamond")</f>
        <v>Diamond</v>
      </c>
      <c r="G286" s="11">
        <f>SUMIF(Data_Donasi[Nama_Donatur],Data_Donasi[[#This Row],[Nama_Donatur]],Data_Donasi[Nominal])</f>
        <v>30750000</v>
      </c>
    </row>
    <row r="287" spans="1:7" x14ac:dyDescent="0.3">
      <c r="A287" s="14" t="s">
        <v>93</v>
      </c>
      <c r="B287" s="4" t="s">
        <v>193</v>
      </c>
      <c r="C287" s="4" t="s">
        <v>293</v>
      </c>
      <c r="D287" s="9">
        <v>45735</v>
      </c>
      <c r="E287" s="12">
        <v>200000</v>
      </c>
      <c r="F287" t="str" cm="1">
        <f t="array" ref="F287">_xlfn.IFS(G287&lt;5000000, "Bronze", G287&lt;10000000, "Silver", G287&lt;20000000, "Gold", G287&gt;=20000000, "Diamond")</f>
        <v>Gold</v>
      </c>
      <c r="G287" s="11">
        <f>SUMIF(Data_Donasi[Nama_Donatur],Data_Donasi[[#This Row],[Nama_Donatur]],Data_Donasi[Nominal])</f>
        <v>19400000</v>
      </c>
    </row>
    <row r="288" spans="1:7" x14ac:dyDescent="0.3">
      <c r="A288" s="14" t="s">
        <v>27</v>
      </c>
      <c r="B288" s="4" t="s">
        <v>127</v>
      </c>
      <c r="C288" s="4" t="s">
        <v>227</v>
      </c>
      <c r="D288" s="9">
        <v>45735</v>
      </c>
      <c r="E288" s="12">
        <v>150000</v>
      </c>
      <c r="F288" t="str" cm="1">
        <f t="array" ref="F288">_xlfn.IFS(G288&lt;5000000, "Bronze", G288&lt;10000000, "Silver", G288&lt;20000000, "Gold", G288&gt;=20000000, "Diamond")</f>
        <v>Diamond</v>
      </c>
      <c r="G288" s="11">
        <f>SUMIF(Data_Donasi[Nama_Donatur],Data_Donasi[[#This Row],[Nama_Donatur]],Data_Donasi[Nominal])</f>
        <v>29050000</v>
      </c>
    </row>
    <row r="289" spans="1:7" x14ac:dyDescent="0.3">
      <c r="A289" s="14" t="s">
        <v>89</v>
      </c>
      <c r="B289" s="4" t="s">
        <v>189</v>
      </c>
      <c r="C289" s="4" t="s">
        <v>289</v>
      </c>
      <c r="D289" s="9">
        <v>45735</v>
      </c>
      <c r="E289" s="12">
        <v>200000</v>
      </c>
      <c r="F289" t="str" cm="1">
        <f t="array" ref="F289">_xlfn.IFS(G289&lt;5000000, "Bronze", G289&lt;10000000, "Silver", G289&lt;20000000, "Gold", G289&gt;=20000000, "Diamond")</f>
        <v>Diamond</v>
      </c>
      <c r="G289" s="11">
        <f>SUMIF(Data_Donasi[Nama_Donatur],Data_Donasi[[#This Row],[Nama_Donatur]],Data_Donasi[Nominal])</f>
        <v>28500000</v>
      </c>
    </row>
    <row r="290" spans="1:7" x14ac:dyDescent="0.3">
      <c r="A290" s="14" t="s">
        <v>8</v>
      </c>
      <c r="B290" s="4" t="s">
        <v>108</v>
      </c>
      <c r="C290" s="4" t="s">
        <v>208</v>
      </c>
      <c r="D290" s="9">
        <v>45736</v>
      </c>
      <c r="E290" s="12">
        <v>10000000</v>
      </c>
      <c r="F290" t="str" cm="1">
        <f t="array" ref="F290">_xlfn.IFS(G290&lt;5000000, "Bronze", G290&lt;10000000, "Silver", G290&lt;20000000, "Gold", G290&gt;=20000000, "Diamond")</f>
        <v>Diamond</v>
      </c>
      <c r="G290" s="11">
        <f>SUMIF(Data_Donasi[Nama_Donatur],Data_Donasi[[#This Row],[Nama_Donatur]],Data_Donasi[Nominal])</f>
        <v>31750000</v>
      </c>
    </row>
    <row r="291" spans="1:7" x14ac:dyDescent="0.3">
      <c r="A291" s="14" t="s">
        <v>44</v>
      </c>
      <c r="B291" s="4" t="s">
        <v>144</v>
      </c>
      <c r="C291" s="4" t="s">
        <v>244</v>
      </c>
      <c r="D291" s="9">
        <v>45737</v>
      </c>
      <c r="E291" s="12">
        <v>3000000</v>
      </c>
      <c r="F291" t="str" cm="1">
        <f t="array" ref="F291">_xlfn.IFS(G291&lt;5000000, "Bronze", G291&lt;10000000, "Silver", G291&lt;20000000, "Gold", G291&gt;=20000000, "Diamond")</f>
        <v>Diamond</v>
      </c>
      <c r="G291" s="11">
        <f>SUMIF(Data_Donasi[Nama_Donatur],Data_Donasi[[#This Row],[Nama_Donatur]],Data_Donasi[Nominal])</f>
        <v>66400000</v>
      </c>
    </row>
    <row r="292" spans="1:7" x14ac:dyDescent="0.3">
      <c r="A292" s="14" t="s">
        <v>40</v>
      </c>
      <c r="B292" s="4" t="s">
        <v>140</v>
      </c>
      <c r="C292" s="4" t="s">
        <v>240</v>
      </c>
      <c r="D292" s="9">
        <v>45737</v>
      </c>
      <c r="E292" s="12">
        <v>250000</v>
      </c>
      <c r="F292" t="str" cm="1">
        <f t="array" ref="F292">_xlfn.IFS(G292&lt;5000000, "Bronze", G292&lt;10000000, "Silver", G292&lt;20000000, "Gold", G292&gt;=20000000, "Diamond")</f>
        <v>Diamond</v>
      </c>
      <c r="G292" s="11">
        <f>SUMIF(Data_Donasi[Nama_Donatur],Data_Donasi[[#This Row],[Nama_Donatur]],Data_Donasi[Nominal])</f>
        <v>45950000</v>
      </c>
    </row>
    <row r="293" spans="1:7" x14ac:dyDescent="0.3">
      <c r="A293" s="14" t="s">
        <v>48</v>
      </c>
      <c r="B293" s="4" t="s">
        <v>148</v>
      </c>
      <c r="C293" s="4" t="s">
        <v>248</v>
      </c>
      <c r="D293" s="9">
        <v>45737</v>
      </c>
      <c r="E293" s="12">
        <v>200000</v>
      </c>
      <c r="F293" t="str" cm="1">
        <f t="array" ref="F293">_xlfn.IFS(G293&lt;5000000, "Bronze", G293&lt;10000000, "Silver", G293&lt;20000000, "Gold", G293&gt;=20000000, "Diamond")</f>
        <v>Diamond</v>
      </c>
      <c r="G293" s="11">
        <f>SUMIF(Data_Donasi[Nama_Donatur],Data_Donasi[[#This Row],[Nama_Donatur]],Data_Donasi[Nominal])</f>
        <v>41150000</v>
      </c>
    </row>
    <row r="294" spans="1:7" x14ac:dyDescent="0.3">
      <c r="A294" s="14" t="s">
        <v>74</v>
      </c>
      <c r="B294" s="4" t="s">
        <v>174</v>
      </c>
      <c r="C294" s="4" t="s">
        <v>274</v>
      </c>
      <c r="D294" s="9">
        <v>45738</v>
      </c>
      <c r="E294" s="12">
        <v>500000</v>
      </c>
      <c r="F294" t="str" cm="1">
        <f t="array" ref="F294">_xlfn.IFS(G294&lt;5000000, "Bronze", G294&lt;10000000, "Silver", G294&lt;20000000, "Gold", G294&gt;=20000000, "Diamond")</f>
        <v>Diamond</v>
      </c>
      <c r="G294" s="11">
        <f>SUMIF(Data_Donasi[Nama_Donatur],Data_Donasi[[#This Row],[Nama_Donatur]],Data_Donasi[Nominal])</f>
        <v>57450000</v>
      </c>
    </row>
    <row r="295" spans="1:7" x14ac:dyDescent="0.3">
      <c r="A295" s="14" t="s">
        <v>57</v>
      </c>
      <c r="B295" s="4" t="s">
        <v>157</v>
      </c>
      <c r="C295" s="4" t="s">
        <v>257</v>
      </c>
      <c r="D295" s="9">
        <v>45738</v>
      </c>
      <c r="E295" s="12">
        <v>150000</v>
      </c>
      <c r="F295" t="str" cm="1">
        <f t="array" ref="F295">_xlfn.IFS(G295&lt;5000000, "Bronze", G295&lt;10000000, "Silver", G295&lt;20000000, "Gold", G295&gt;=20000000, "Diamond")</f>
        <v>Diamond</v>
      </c>
      <c r="G295" s="11">
        <f>SUMIF(Data_Donasi[Nama_Donatur],Data_Donasi[[#This Row],[Nama_Donatur]],Data_Donasi[Nominal])</f>
        <v>30750000</v>
      </c>
    </row>
    <row r="296" spans="1:7" x14ac:dyDescent="0.3">
      <c r="A296" s="14" t="s">
        <v>44</v>
      </c>
      <c r="B296" s="4" t="s">
        <v>144</v>
      </c>
      <c r="C296" s="4" t="s">
        <v>244</v>
      </c>
      <c r="D296" s="9">
        <v>45738</v>
      </c>
      <c r="E296" s="12">
        <v>20000000</v>
      </c>
      <c r="F296" t="str" cm="1">
        <f t="array" ref="F296">_xlfn.IFS(G296&lt;5000000, "Bronze", G296&lt;10000000, "Silver", G296&lt;20000000, "Gold", G296&gt;=20000000, "Diamond")</f>
        <v>Diamond</v>
      </c>
      <c r="G296" s="11">
        <f>SUMIF(Data_Donasi[Nama_Donatur],Data_Donasi[[#This Row],[Nama_Donatur]],Data_Donasi[Nominal])</f>
        <v>66400000</v>
      </c>
    </row>
    <row r="297" spans="1:7" x14ac:dyDescent="0.3">
      <c r="A297" s="14" t="s">
        <v>9</v>
      </c>
      <c r="B297" s="4" t="s">
        <v>109</v>
      </c>
      <c r="C297" s="4" t="s">
        <v>209</v>
      </c>
      <c r="D297" s="9">
        <v>45738</v>
      </c>
      <c r="E297" s="12">
        <v>100000</v>
      </c>
      <c r="F297" t="str" cm="1">
        <f t="array" ref="F297">_xlfn.IFS(G297&lt;5000000, "Bronze", G297&lt;10000000, "Silver", G297&lt;20000000, "Gold", G297&gt;=20000000, "Diamond")</f>
        <v>Diamond</v>
      </c>
      <c r="G297" s="11">
        <f>SUMIF(Data_Donasi[Nama_Donatur],Data_Donasi[[#This Row],[Nama_Donatur]],Data_Donasi[Nominal])</f>
        <v>24900000</v>
      </c>
    </row>
    <row r="298" spans="1:7" x14ac:dyDescent="0.3">
      <c r="A298" s="14" t="s">
        <v>5</v>
      </c>
      <c r="B298" s="4" t="s">
        <v>105</v>
      </c>
      <c r="C298" s="4" t="s">
        <v>205</v>
      </c>
      <c r="D298" s="9">
        <v>45738</v>
      </c>
      <c r="E298" s="12">
        <v>150000</v>
      </c>
      <c r="F298" t="str" cm="1">
        <f t="array" ref="F298">_xlfn.IFS(G298&lt;5000000, "Bronze", G298&lt;10000000, "Silver", G298&lt;20000000, "Gold", G298&gt;=20000000, "Diamond")</f>
        <v>Diamond</v>
      </c>
      <c r="G298" s="11">
        <f>SUMIF(Data_Donasi[Nama_Donatur],Data_Donasi[[#This Row],[Nama_Donatur]],Data_Donasi[Nominal])</f>
        <v>42050000</v>
      </c>
    </row>
    <row r="299" spans="1:7" x14ac:dyDescent="0.3">
      <c r="A299" s="14" t="s">
        <v>102</v>
      </c>
      <c r="B299" s="4" t="s">
        <v>202</v>
      </c>
      <c r="C299" s="4" t="s">
        <v>302</v>
      </c>
      <c r="D299" s="9">
        <v>45738</v>
      </c>
      <c r="E299" s="12">
        <v>50000</v>
      </c>
      <c r="F299" t="str" cm="1">
        <f t="array" ref="F299">_xlfn.IFS(G299&lt;5000000, "Bronze", G299&lt;10000000, "Silver", G299&lt;20000000, "Gold", G299&gt;=20000000, "Diamond")</f>
        <v>Diamond</v>
      </c>
      <c r="G299" s="11">
        <f>SUMIF(Data_Donasi[Nama_Donatur],Data_Donasi[[#This Row],[Nama_Donatur]],Data_Donasi[Nominal])</f>
        <v>55750000</v>
      </c>
    </row>
    <row r="300" spans="1:7" x14ac:dyDescent="0.3">
      <c r="A300" s="14" t="s">
        <v>27</v>
      </c>
      <c r="B300" s="4" t="s">
        <v>127</v>
      </c>
      <c r="C300" s="4" t="s">
        <v>227</v>
      </c>
      <c r="D300" s="9">
        <v>45739</v>
      </c>
      <c r="E300" s="12">
        <v>50000</v>
      </c>
      <c r="F300" t="str" cm="1">
        <f t="array" ref="F300">_xlfn.IFS(G300&lt;5000000, "Bronze", G300&lt;10000000, "Silver", G300&lt;20000000, "Gold", G300&gt;=20000000, "Diamond")</f>
        <v>Diamond</v>
      </c>
      <c r="G300" s="11">
        <f>SUMIF(Data_Donasi[Nama_Donatur],Data_Donasi[[#This Row],[Nama_Donatur]],Data_Donasi[Nominal])</f>
        <v>29050000</v>
      </c>
    </row>
    <row r="301" spans="1:7" x14ac:dyDescent="0.3">
      <c r="A301" s="14" t="s">
        <v>74</v>
      </c>
      <c r="B301" s="4" t="s">
        <v>174</v>
      </c>
      <c r="C301" s="4" t="s">
        <v>274</v>
      </c>
      <c r="D301" s="9">
        <v>45740</v>
      </c>
      <c r="E301" s="12">
        <v>500000</v>
      </c>
      <c r="F301" t="str" cm="1">
        <f t="array" ref="F301">_xlfn.IFS(G301&lt;5000000, "Bronze", G301&lt;10000000, "Silver", G301&lt;20000000, "Gold", G301&gt;=20000000, "Diamond")</f>
        <v>Diamond</v>
      </c>
      <c r="G301" s="11">
        <f>SUMIF(Data_Donasi[Nama_Donatur],Data_Donasi[[#This Row],[Nama_Donatur]],Data_Donasi[Nominal])</f>
        <v>57450000</v>
      </c>
    </row>
    <row r="302" spans="1:7" x14ac:dyDescent="0.3">
      <c r="A302" s="14" t="s">
        <v>82</v>
      </c>
      <c r="B302" s="4" t="s">
        <v>182</v>
      </c>
      <c r="C302" s="4" t="s">
        <v>282</v>
      </c>
      <c r="D302" s="9">
        <v>45740</v>
      </c>
      <c r="E302" s="12">
        <v>5000000</v>
      </c>
      <c r="F302" t="str" cm="1">
        <f t="array" ref="F302">_xlfn.IFS(G302&lt;5000000, "Bronze", G302&lt;10000000, "Silver", G302&lt;20000000, "Gold", G302&gt;=20000000, "Diamond")</f>
        <v>Diamond</v>
      </c>
      <c r="G302" s="11">
        <f>SUMIF(Data_Donasi[Nama_Donatur],Data_Donasi[[#This Row],[Nama_Donatur]],Data_Donasi[Nominal])</f>
        <v>63700000</v>
      </c>
    </row>
    <row r="303" spans="1:7" x14ac:dyDescent="0.3">
      <c r="A303" s="14" t="s">
        <v>102</v>
      </c>
      <c r="B303" s="4" t="s">
        <v>202</v>
      </c>
      <c r="C303" s="4" t="s">
        <v>302</v>
      </c>
      <c r="D303" s="9">
        <v>45740</v>
      </c>
      <c r="E303" s="12">
        <v>5000000</v>
      </c>
      <c r="F303" t="str" cm="1">
        <f t="array" ref="F303">_xlfn.IFS(G303&lt;5000000, "Bronze", G303&lt;10000000, "Silver", G303&lt;20000000, "Gold", G303&gt;=20000000, "Diamond")</f>
        <v>Diamond</v>
      </c>
      <c r="G303" s="11">
        <f>SUMIF(Data_Donasi[Nama_Donatur],Data_Donasi[[#This Row],[Nama_Donatur]],Data_Donasi[Nominal])</f>
        <v>55750000</v>
      </c>
    </row>
    <row r="304" spans="1:7" x14ac:dyDescent="0.3">
      <c r="A304" s="14" t="s">
        <v>84</v>
      </c>
      <c r="B304" s="4" t="s">
        <v>184</v>
      </c>
      <c r="C304" s="4" t="s">
        <v>284</v>
      </c>
      <c r="D304" s="9">
        <v>45740</v>
      </c>
      <c r="E304" s="12">
        <v>7000000</v>
      </c>
      <c r="F304" t="str" cm="1">
        <f t="array" ref="F304">_xlfn.IFS(G304&lt;5000000, "Bronze", G304&lt;10000000, "Silver", G304&lt;20000000, "Gold", G304&gt;=20000000, "Diamond")</f>
        <v>Diamond</v>
      </c>
      <c r="G304" s="11">
        <f>SUMIF(Data_Donasi[Nama_Donatur],Data_Donasi[[#This Row],[Nama_Donatur]],Data_Donasi[Nominal])</f>
        <v>33150000</v>
      </c>
    </row>
    <row r="305" spans="1:7" x14ac:dyDescent="0.3">
      <c r="A305" s="14" t="s">
        <v>45</v>
      </c>
      <c r="B305" s="4" t="s">
        <v>145</v>
      </c>
      <c r="C305" s="4" t="s">
        <v>245</v>
      </c>
      <c r="D305" s="9">
        <v>45741</v>
      </c>
      <c r="E305" s="12">
        <v>250000</v>
      </c>
      <c r="F305" t="str" cm="1">
        <f t="array" ref="F305">_xlfn.IFS(G305&lt;5000000, "Bronze", G305&lt;10000000, "Silver", G305&lt;20000000, "Gold", G305&gt;=20000000, "Diamond")</f>
        <v>Diamond</v>
      </c>
      <c r="G305" s="11">
        <f>SUMIF(Data_Donasi[Nama_Donatur],Data_Donasi[[#This Row],[Nama_Donatur]],Data_Donasi[Nominal])</f>
        <v>42850000</v>
      </c>
    </row>
    <row r="306" spans="1:7" x14ac:dyDescent="0.3">
      <c r="A306" s="14" t="s">
        <v>103</v>
      </c>
      <c r="B306" s="4" t="s">
        <v>203</v>
      </c>
      <c r="C306" s="4" t="s">
        <v>303</v>
      </c>
      <c r="D306" s="9">
        <v>45741</v>
      </c>
      <c r="E306" s="12">
        <v>3000000</v>
      </c>
      <c r="F306" t="str" cm="1">
        <f t="array" ref="F306">_xlfn.IFS(G306&lt;5000000, "Bronze", G306&lt;10000000, "Silver", G306&lt;20000000, "Gold", G306&gt;=20000000, "Diamond")</f>
        <v>Diamond</v>
      </c>
      <c r="G306" s="11">
        <f>SUMIF(Data_Donasi[Nama_Donatur],Data_Donasi[[#This Row],[Nama_Donatur]],Data_Donasi[Nominal])</f>
        <v>50550000</v>
      </c>
    </row>
    <row r="307" spans="1:7" x14ac:dyDescent="0.3">
      <c r="A307" s="14" t="s">
        <v>93</v>
      </c>
      <c r="B307" s="4" t="s">
        <v>193</v>
      </c>
      <c r="C307" s="4" t="s">
        <v>293</v>
      </c>
      <c r="D307" s="9">
        <v>45741</v>
      </c>
      <c r="E307" s="12">
        <v>100000</v>
      </c>
      <c r="F307" t="str" cm="1">
        <f t="array" ref="F307">_xlfn.IFS(G307&lt;5000000, "Bronze", G307&lt;10000000, "Silver", G307&lt;20000000, "Gold", G307&gt;=20000000, "Diamond")</f>
        <v>Gold</v>
      </c>
      <c r="G307" s="11">
        <f>SUMIF(Data_Donasi[Nama_Donatur],Data_Donasi[[#This Row],[Nama_Donatur]],Data_Donasi[Nominal])</f>
        <v>19400000</v>
      </c>
    </row>
    <row r="308" spans="1:7" x14ac:dyDescent="0.3">
      <c r="A308" s="14" t="s">
        <v>45</v>
      </c>
      <c r="B308" s="4" t="s">
        <v>145</v>
      </c>
      <c r="C308" s="4" t="s">
        <v>245</v>
      </c>
      <c r="D308" s="9">
        <v>45741</v>
      </c>
      <c r="E308" s="12">
        <v>10000000</v>
      </c>
      <c r="F308" t="str" cm="1">
        <f t="array" ref="F308">_xlfn.IFS(G308&lt;5000000, "Bronze", G308&lt;10000000, "Silver", G308&lt;20000000, "Gold", G308&gt;=20000000, "Diamond")</f>
        <v>Diamond</v>
      </c>
      <c r="G308" s="11">
        <f>SUMIF(Data_Donasi[Nama_Donatur],Data_Donasi[[#This Row],[Nama_Donatur]],Data_Donasi[Nominal])</f>
        <v>42850000</v>
      </c>
    </row>
    <row r="309" spans="1:7" x14ac:dyDescent="0.3">
      <c r="A309" s="14" t="s">
        <v>94</v>
      </c>
      <c r="B309" s="4" t="s">
        <v>194</v>
      </c>
      <c r="C309" s="4" t="s">
        <v>294</v>
      </c>
      <c r="D309" s="9">
        <v>45741</v>
      </c>
      <c r="E309" s="12">
        <v>1000000</v>
      </c>
      <c r="F309" t="str" cm="1">
        <f t="array" ref="F309">_xlfn.IFS(G309&lt;5000000, "Bronze", G309&lt;10000000, "Silver", G309&lt;20000000, "Gold", G309&gt;=20000000, "Diamond")</f>
        <v>Diamond</v>
      </c>
      <c r="G309" s="11">
        <f>SUMIF(Data_Donasi[Nama_Donatur],Data_Donasi[[#This Row],[Nama_Donatur]],Data_Donasi[Nominal])</f>
        <v>26650000</v>
      </c>
    </row>
    <row r="310" spans="1:7" x14ac:dyDescent="0.3">
      <c r="A310" s="14" t="s">
        <v>14</v>
      </c>
      <c r="B310" s="4" t="s">
        <v>114</v>
      </c>
      <c r="C310" s="4" t="s">
        <v>214</v>
      </c>
      <c r="D310" s="9">
        <v>45741</v>
      </c>
      <c r="E310" s="12">
        <v>50000</v>
      </c>
      <c r="F310" t="str" cm="1">
        <f t="array" ref="F310">_xlfn.IFS(G310&lt;5000000, "Bronze", G310&lt;10000000, "Silver", G310&lt;20000000, "Gold", G310&gt;=20000000, "Diamond")</f>
        <v>Diamond</v>
      </c>
      <c r="G310" s="11">
        <f>SUMIF(Data_Donasi[Nama_Donatur],Data_Donasi[[#This Row],[Nama_Donatur]],Data_Donasi[Nominal])</f>
        <v>73750000</v>
      </c>
    </row>
    <row r="311" spans="1:7" x14ac:dyDescent="0.3">
      <c r="A311" s="14" t="s">
        <v>80</v>
      </c>
      <c r="B311" s="4" t="s">
        <v>180</v>
      </c>
      <c r="C311" s="4" t="s">
        <v>280</v>
      </c>
      <c r="D311" s="9">
        <v>45742</v>
      </c>
      <c r="E311" s="12">
        <v>250000</v>
      </c>
      <c r="F311" t="str" cm="1">
        <f t="array" ref="F311">_xlfn.IFS(G311&lt;5000000, "Bronze", G311&lt;10000000, "Silver", G311&lt;20000000, "Gold", G311&gt;=20000000, "Diamond")</f>
        <v>Diamond</v>
      </c>
      <c r="G311" s="11">
        <f>SUMIF(Data_Donasi[Nama_Donatur],Data_Donasi[[#This Row],[Nama_Donatur]],Data_Donasi[Nominal])</f>
        <v>57850000</v>
      </c>
    </row>
    <row r="312" spans="1:7" x14ac:dyDescent="0.3">
      <c r="A312" s="14" t="s">
        <v>15</v>
      </c>
      <c r="B312" s="4" t="s">
        <v>115</v>
      </c>
      <c r="C312" s="4" t="s">
        <v>215</v>
      </c>
      <c r="D312" s="9">
        <v>45742</v>
      </c>
      <c r="E312" s="12">
        <v>10000000</v>
      </c>
      <c r="F312" t="str" cm="1">
        <f t="array" ref="F312">_xlfn.IFS(G312&lt;5000000, "Bronze", G312&lt;10000000, "Silver", G312&lt;20000000, "Gold", G312&gt;=20000000, "Diamond")</f>
        <v>Diamond</v>
      </c>
      <c r="G312" s="11">
        <f>SUMIF(Data_Donasi[Nama_Donatur],Data_Donasi[[#This Row],[Nama_Donatur]],Data_Donasi[Nominal])</f>
        <v>84750000</v>
      </c>
    </row>
    <row r="313" spans="1:7" x14ac:dyDescent="0.3">
      <c r="A313" s="14" t="s">
        <v>78</v>
      </c>
      <c r="B313" s="4" t="s">
        <v>178</v>
      </c>
      <c r="C313" s="4" t="s">
        <v>278</v>
      </c>
      <c r="D313" s="9">
        <v>45742</v>
      </c>
      <c r="E313" s="12">
        <v>250000</v>
      </c>
      <c r="F313" t="str" cm="1">
        <f t="array" ref="F313">_xlfn.IFS(G313&lt;5000000, "Bronze", G313&lt;10000000, "Silver", G313&lt;20000000, "Gold", G313&gt;=20000000, "Diamond")</f>
        <v>Diamond</v>
      </c>
      <c r="G313" s="11">
        <f>SUMIF(Data_Donasi[Nama_Donatur],Data_Donasi[[#This Row],[Nama_Donatur]],Data_Donasi[Nominal])</f>
        <v>115650000</v>
      </c>
    </row>
    <row r="314" spans="1:7" x14ac:dyDescent="0.3">
      <c r="A314" s="14" t="s">
        <v>87</v>
      </c>
      <c r="B314" s="4" t="s">
        <v>187</v>
      </c>
      <c r="C314" s="4" t="s">
        <v>287</v>
      </c>
      <c r="D314" s="9">
        <v>45742</v>
      </c>
      <c r="E314" s="12">
        <v>200000</v>
      </c>
      <c r="F314" t="str" cm="1">
        <f t="array" ref="F314">_xlfn.IFS(G314&lt;5000000, "Bronze", G314&lt;10000000, "Silver", G314&lt;20000000, "Gold", G314&gt;=20000000, "Diamond")</f>
        <v>Diamond</v>
      </c>
      <c r="G314" s="11">
        <f>SUMIF(Data_Donasi[Nama_Donatur],Data_Donasi[[#This Row],[Nama_Donatur]],Data_Donasi[Nominal])</f>
        <v>26100000</v>
      </c>
    </row>
    <row r="315" spans="1:7" x14ac:dyDescent="0.3">
      <c r="A315" s="14" t="s">
        <v>41</v>
      </c>
      <c r="B315" s="4" t="s">
        <v>141</v>
      </c>
      <c r="C315" s="4" t="s">
        <v>241</v>
      </c>
      <c r="D315" s="9">
        <v>45743</v>
      </c>
      <c r="E315" s="12">
        <v>100000</v>
      </c>
      <c r="F315" t="str" cm="1">
        <f t="array" ref="F315">_xlfn.IFS(G315&lt;5000000, "Bronze", G315&lt;10000000, "Silver", G315&lt;20000000, "Gold", G315&gt;=20000000, "Diamond")</f>
        <v>Gold</v>
      </c>
      <c r="G315" s="11">
        <f>SUMIF(Data_Donasi[Nama_Donatur],Data_Donasi[[#This Row],[Nama_Donatur]],Data_Donasi[Nominal])</f>
        <v>10400000</v>
      </c>
    </row>
    <row r="316" spans="1:7" x14ac:dyDescent="0.3">
      <c r="A316" s="14" t="s">
        <v>63</v>
      </c>
      <c r="B316" s="4" t="s">
        <v>163</v>
      </c>
      <c r="C316" s="4" t="s">
        <v>263</v>
      </c>
      <c r="D316" s="9">
        <v>45743</v>
      </c>
      <c r="E316" s="12">
        <v>10000000</v>
      </c>
      <c r="F316" t="str" cm="1">
        <f t="array" ref="F316">_xlfn.IFS(G316&lt;5000000, "Bronze", G316&lt;10000000, "Silver", G316&lt;20000000, "Gold", G316&gt;=20000000, "Diamond")</f>
        <v>Gold</v>
      </c>
      <c r="G316" s="11">
        <f>SUMIF(Data_Donasi[Nama_Donatur],Data_Donasi[[#This Row],[Nama_Donatur]],Data_Donasi[Nominal])</f>
        <v>15700000</v>
      </c>
    </row>
    <row r="317" spans="1:7" x14ac:dyDescent="0.3">
      <c r="A317" s="14" t="s">
        <v>97</v>
      </c>
      <c r="B317" s="4" t="s">
        <v>197</v>
      </c>
      <c r="C317" s="4" t="s">
        <v>297</v>
      </c>
      <c r="D317" s="9">
        <v>45743</v>
      </c>
      <c r="E317" s="12">
        <v>1000000</v>
      </c>
      <c r="F317" t="str" cm="1">
        <f t="array" ref="F317">_xlfn.IFS(G317&lt;5000000, "Bronze", G317&lt;10000000, "Silver", G317&lt;20000000, "Gold", G317&gt;=20000000, "Diamond")</f>
        <v>Diamond</v>
      </c>
      <c r="G317" s="11">
        <f>SUMIF(Data_Donasi[Nama_Donatur],Data_Donasi[[#This Row],[Nama_Donatur]],Data_Donasi[Nominal])</f>
        <v>52700000</v>
      </c>
    </row>
    <row r="318" spans="1:7" x14ac:dyDescent="0.3">
      <c r="A318" s="14" t="s">
        <v>5</v>
      </c>
      <c r="B318" s="4" t="s">
        <v>105</v>
      </c>
      <c r="C318" s="4" t="s">
        <v>205</v>
      </c>
      <c r="D318" s="9">
        <v>45744</v>
      </c>
      <c r="E318" s="12">
        <v>1000000</v>
      </c>
      <c r="F318" t="str" cm="1">
        <f t="array" ref="F318">_xlfn.IFS(G318&lt;5000000, "Bronze", G318&lt;10000000, "Silver", G318&lt;20000000, "Gold", G318&gt;=20000000, "Diamond")</f>
        <v>Diamond</v>
      </c>
      <c r="G318" s="11">
        <f>SUMIF(Data_Donasi[Nama_Donatur],Data_Donasi[[#This Row],[Nama_Donatur]],Data_Donasi[Nominal])</f>
        <v>42050000</v>
      </c>
    </row>
    <row r="319" spans="1:7" x14ac:dyDescent="0.3">
      <c r="A319" s="14" t="s">
        <v>99</v>
      </c>
      <c r="B319" s="4" t="s">
        <v>199</v>
      </c>
      <c r="C319" s="4" t="s">
        <v>299</v>
      </c>
      <c r="D319" s="9">
        <v>45744</v>
      </c>
      <c r="E319" s="12">
        <v>150000</v>
      </c>
      <c r="F319" t="str" cm="1">
        <f t="array" ref="F319">_xlfn.IFS(G319&lt;5000000, "Bronze", G319&lt;10000000, "Silver", G319&lt;20000000, "Gold", G319&gt;=20000000, "Diamond")</f>
        <v>Diamond</v>
      </c>
      <c r="G319" s="11">
        <f>SUMIF(Data_Donasi[Nama_Donatur],Data_Donasi[[#This Row],[Nama_Donatur]],Data_Donasi[Nominal])</f>
        <v>26300000</v>
      </c>
    </row>
    <row r="320" spans="1:7" x14ac:dyDescent="0.3">
      <c r="A320" s="14" t="s">
        <v>81</v>
      </c>
      <c r="B320" s="4" t="s">
        <v>181</v>
      </c>
      <c r="C320" s="4" t="s">
        <v>281</v>
      </c>
      <c r="D320" s="9">
        <v>45744</v>
      </c>
      <c r="E320" s="12">
        <v>20000000</v>
      </c>
      <c r="F320" t="str" cm="1">
        <f t="array" ref="F320">_xlfn.IFS(G320&lt;5000000, "Bronze", G320&lt;10000000, "Silver", G320&lt;20000000, "Gold", G320&gt;=20000000, "Diamond")</f>
        <v>Diamond</v>
      </c>
      <c r="G320" s="11">
        <f>SUMIF(Data_Donasi[Nama_Donatur],Data_Donasi[[#This Row],[Nama_Donatur]],Data_Donasi[Nominal])</f>
        <v>86000000</v>
      </c>
    </row>
    <row r="321" spans="1:7" x14ac:dyDescent="0.3">
      <c r="A321" s="14" t="s">
        <v>51</v>
      </c>
      <c r="B321" s="4" t="s">
        <v>151</v>
      </c>
      <c r="C321" s="4" t="s">
        <v>251</v>
      </c>
      <c r="D321" s="9">
        <v>45744</v>
      </c>
      <c r="E321" s="12">
        <v>3000000</v>
      </c>
      <c r="F321" t="str" cm="1">
        <f t="array" ref="F321">_xlfn.IFS(G321&lt;5000000, "Bronze", G321&lt;10000000, "Silver", G321&lt;20000000, "Gold", G321&gt;=20000000, "Diamond")</f>
        <v>Diamond</v>
      </c>
      <c r="G321" s="11">
        <f>SUMIF(Data_Donasi[Nama_Donatur],Data_Donasi[[#This Row],[Nama_Donatur]],Data_Donasi[Nominal])</f>
        <v>46450000</v>
      </c>
    </row>
    <row r="322" spans="1:7" x14ac:dyDescent="0.3">
      <c r="A322" s="14" t="s">
        <v>27</v>
      </c>
      <c r="B322" s="4" t="s">
        <v>127</v>
      </c>
      <c r="C322" s="4" t="s">
        <v>227</v>
      </c>
      <c r="D322" s="9">
        <v>45745</v>
      </c>
      <c r="E322" s="12">
        <v>5000000</v>
      </c>
      <c r="F322" t="str" cm="1">
        <f t="array" ref="F322">_xlfn.IFS(G322&lt;5000000, "Bronze", G322&lt;10000000, "Silver", G322&lt;20000000, "Gold", G322&gt;=20000000, "Diamond")</f>
        <v>Diamond</v>
      </c>
      <c r="G322" s="11">
        <f>SUMIF(Data_Donasi[Nama_Donatur],Data_Donasi[[#This Row],[Nama_Donatur]],Data_Donasi[Nominal])</f>
        <v>29050000</v>
      </c>
    </row>
    <row r="323" spans="1:7" x14ac:dyDescent="0.3">
      <c r="A323" s="14" t="s">
        <v>77</v>
      </c>
      <c r="B323" s="4" t="s">
        <v>177</v>
      </c>
      <c r="C323" s="4" t="s">
        <v>277</v>
      </c>
      <c r="D323" s="9">
        <v>45745</v>
      </c>
      <c r="E323" s="12">
        <v>3000000</v>
      </c>
      <c r="F323" t="str" cm="1">
        <f t="array" ref="F323">_xlfn.IFS(G323&lt;5000000, "Bronze", G323&lt;10000000, "Silver", G323&lt;20000000, "Gold", G323&gt;=20000000, "Diamond")</f>
        <v>Diamond</v>
      </c>
      <c r="G323" s="11">
        <f>SUMIF(Data_Donasi[Nama_Donatur],Data_Donasi[[#This Row],[Nama_Donatur]],Data_Donasi[Nominal])</f>
        <v>47350000</v>
      </c>
    </row>
    <row r="324" spans="1:7" x14ac:dyDescent="0.3">
      <c r="A324" s="14" t="s">
        <v>93</v>
      </c>
      <c r="B324" s="4" t="s">
        <v>193</v>
      </c>
      <c r="C324" s="4" t="s">
        <v>293</v>
      </c>
      <c r="D324" s="9">
        <v>45745</v>
      </c>
      <c r="E324" s="12">
        <v>500000</v>
      </c>
      <c r="F324" t="str" cm="1">
        <f t="array" ref="F324">_xlfn.IFS(G324&lt;5000000, "Bronze", G324&lt;10000000, "Silver", G324&lt;20000000, "Gold", G324&gt;=20000000, "Diamond")</f>
        <v>Gold</v>
      </c>
      <c r="G324" s="11">
        <f>SUMIF(Data_Donasi[Nama_Donatur],Data_Donasi[[#This Row],[Nama_Donatur]],Data_Donasi[Nominal])</f>
        <v>19400000</v>
      </c>
    </row>
    <row r="325" spans="1:7" x14ac:dyDescent="0.3">
      <c r="A325" s="14" t="s">
        <v>66</v>
      </c>
      <c r="B325" s="4" t="s">
        <v>166</v>
      </c>
      <c r="C325" s="4" t="s">
        <v>266</v>
      </c>
      <c r="D325" s="9">
        <v>45745</v>
      </c>
      <c r="E325" s="12">
        <v>500000</v>
      </c>
      <c r="F325" t="str" cm="1">
        <f t="array" ref="F325">_xlfn.IFS(G325&lt;5000000, "Bronze", G325&lt;10000000, "Silver", G325&lt;20000000, "Gold", G325&gt;=20000000, "Diamond")</f>
        <v>Diamond</v>
      </c>
      <c r="G325" s="11">
        <f>SUMIF(Data_Donasi[Nama_Donatur],Data_Donasi[[#This Row],[Nama_Donatur]],Data_Donasi[Nominal])</f>
        <v>26350000</v>
      </c>
    </row>
    <row r="326" spans="1:7" x14ac:dyDescent="0.3">
      <c r="A326" s="14" t="s">
        <v>97</v>
      </c>
      <c r="B326" s="4" t="s">
        <v>197</v>
      </c>
      <c r="C326" s="4" t="s">
        <v>297</v>
      </c>
      <c r="D326" s="9">
        <v>45745</v>
      </c>
      <c r="E326" s="12">
        <v>2000000</v>
      </c>
      <c r="F326" t="str" cm="1">
        <f t="array" ref="F326">_xlfn.IFS(G326&lt;5000000, "Bronze", G326&lt;10000000, "Silver", G326&lt;20000000, "Gold", G326&gt;=20000000, "Diamond")</f>
        <v>Diamond</v>
      </c>
      <c r="G326" s="11">
        <f>SUMIF(Data_Donasi[Nama_Donatur],Data_Donasi[[#This Row],[Nama_Donatur]],Data_Donasi[Nominal])</f>
        <v>52700000</v>
      </c>
    </row>
    <row r="327" spans="1:7" x14ac:dyDescent="0.3">
      <c r="A327" s="14" t="s">
        <v>67</v>
      </c>
      <c r="B327" s="4" t="s">
        <v>167</v>
      </c>
      <c r="C327" s="4" t="s">
        <v>267</v>
      </c>
      <c r="D327" s="9">
        <v>45745</v>
      </c>
      <c r="E327" s="12">
        <v>7000000</v>
      </c>
      <c r="F327" t="str" cm="1">
        <f t="array" ref="F327">_xlfn.IFS(G327&lt;5000000, "Bronze", G327&lt;10000000, "Silver", G327&lt;20000000, "Gold", G327&gt;=20000000, "Diamond")</f>
        <v>Diamond</v>
      </c>
      <c r="G327" s="11">
        <f>SUMIF(Data_Donasi[Nama_Donatur],Data_Donasi[[#This Row],[Nama_Donatur]],Data_Donasi[Nominal])</f>
        <v>28450000</v>
      </c>
    </row>
    <row r="328" spans="1:7" x14ac:dyDescent="0.3">
      <c r="A328" s="14" t="s">
        <v>29</v>
      </c>
      <c r="B328" s="4" t="s">
        <v>129</v>
      </c>
      <c r="C328" s="4" t="s">
        <v>229</v>
      </c>
      <c r="D328" s="9">
        <v>45746</v>
      </c>
      <c r="E328" s="12">
        <v>250000</v>
      </c>
      <c r="F328" t="str" cm="1">
        <f t="array" ref="F328">_xlfn.IFS(G328&lt;5000000, "Bronze", G328&lt;10000000, "Silver", G328&lt;20000000, "Gold", G328&gt;=20000000, "Diamond")</f>
        <v>Diamond</v>
      </c>
      <c r="G328" s="11">
        <f>SUMIF(Data_Donasi[Nama_Donatur],Data_Donasi[[#This Row],[Nama_Donatur]],Data_Donasi[Nominal])</f>
        <v>30400000</v>
      </c>
    </row>
    <row r="329" spans="1:7" x14ac:dyDescent="0.3">
      <c r="A329" s="14" t="s">
        <v>97</v>
      </c>
      <c r="B329" s="4" t="s">
        <v>197</v>
      </c>
      <c r="C329" s="4" t="s">
        <v>297</v>
      </c>
      <c r="D329" s="9">
        <v>45746</v>
      </c>
      <c r="E329" s="12">
        <v>150000</v>
      </c>
      <c r="F329" t="str" cm="1">
        <f t="array" ref="F329">_xlfn.IFS(G329&lt;5000000, "Bronze", G329&lt;10000000, "Silver", G329&lt;20000000, "Gold", G329&gt;=20000000, "Diamond")</f>
        <v>Diamond</v>
      </c>
      <c r="G329" s="11">
        <f>SUMIF(Data_Donasi[Nama_Donatur],Data_Donasi[[#This Row],[Nama_Donatur]],Data_Donasi[Nominal])</f>
        <v>52700000</v>
      </c>
    </row>
    <row r="330" spans="1:7" x14ac:dyDescent="0.3">
      <c r="A330" s="14" t="s">
        <v>104</v>
      </c>
      <c r="B330" s="4" t="s">
        <v>204</v>
      </c>
      <c r="C330" s="4" t="s">
        <v>304</v>
      </c>
      <c r="D330" s="9">
        <v>45747</v>
      </c>
      <c r="E330" s="12">
        <v>3000000</v>
      </c>
      <c r="F330" t="str" cm="1">
        <f t="array" ref="F330">_xlfn.IFS(G330&lt;5000000, "Bronze", G330&lt;10000000, "Silver", G330&lt;20000000, "Gold", G330&gt;=20000000, "Diamond")</f>
        <v>Diamond</v>
      </c>
      <c r="G330" s="11">
        <f>SUMIF(Data_Donasi[Nama_Donatur],Data_Donasi[[#This Row],[Nama_Donatur]],Data_Donasi[Nominal])</f>
        <v>22000000</v>
      </c>
    </row>
    <row r="331" spans="1:7" x14ac:dyDescent="0.3">
      <c r="A331" s="14" t="s">
        <v>44</v>
      </c>
      <c r="B331" s="4" t="s">
        <v>144</v>
      </c>
      <c r="C331" s="4" t="s">
        <v>244</v>
      </c>
      <c r="D331" s="9">
        <v>45748</v>
      </c>
      <c r="E331" s="12">
        <v>50000</v>
      </c>
      <c r="F331" t="str" cm="1">
        <f t="array" ref="F331">_xlfn.IFS(G331&lt;5000000, "Bronze", G331&lt;10000000, "Silver", G331&lt;20000000, "Gold", G331&gt;=20000000, "Diamond")</f>
        <v>Diamond</v>
      </c>
      <c r="G331" s="11">
        <f>SUMIF(Data_Donasi[Nama_Donatur],Data_Donasi[[#This Row],[Nama_Donatur]],Data_Donasi[Nominal])</f>
        <v>66400000</v>
      </c>
    </row>
    <row r="332" spans="1:7" x14ac:dyDescent="0.3">
      <c r="A332" s="14" t="s">
        <v>90</v>
      </c>
      <c r="B332" s="4" t="s">
        <v>190</v>
      </c>
      <c r="C332" s="4" t="s">
        <v>290</v>
      </c>
      <c r="D332" s="9">
        <v>45748</v>
      </c>
      <c r="E332" s="12">
        <v>150000</v>
      </c>
      <c r="F332" t="str" cm="1">
        <f t="array" ref="F332">_xlfn.IFS(G332&lt;5000000, "Bronze", G332&lt;10000000, "Silver", G332&lt;20000000, "Gold", G332&gt;=20000000, "Diamond")</f>
        <v>Diamond</v>
      </c>
      <c r="G332" s="11">
        <f>SUMIF(Data_Donasi[Nama_Donatur],Data_Donasi[[#This Row],[Nama_Donatur]],Data_Donasi[Nominal])</f>
        <v>52300000</v>
      </c>
    </row>
    <row r="333" spans="1:7" x14ac:dyDescent="0.3">
      <c r="A333" s="14" t="s">
        <v>40</v>
      </c>
      <c r="B333" s="4" t="s">
        <v>140</v>
      </c>
      <c r="C333" s="4" t="s">
        <v>240</v>
      </c>
      <c r="D333" s="9">
        <v>45748</v>
      </c>
      <c r="E333" s="12">
        <v>20000000</v>
      </c>
      <c r="F333" t="str" cm="1">
        <f t="array" ref="F333">_xlfn.IFS(G333&lt;5000000, "Bronze", G333&lt;10000000, "Silver", G333&lt;20000000, "Gold", G333&gt;=20000000, "Diamond")</f>
        <v>Diamond</v>
      </c>
      <c r="G333" s="11">
        <f>SUMIF(Data_Donasi[Nama_Donatur],Data_Donasi[[#This Row],[Nama_Donatur]],Data_Donasi[Nominal])</f>
        <v>45950000</v>
      </c>
    </row>
    <row r="334" spans="1:7" x14ac:dyDescent="0.3">
      <c r="A334" s="14" t="s">
        <v>5</v>
      </c>
      <c r="B334" s="4" t="s">
        <v>105</v>
      </c>
      <c r="C334" s="4" t="s">
        <v>205</v>
      </c>
      <c r="D334" s="9">
        <v>45749</v>
      </c>
      <c r="E334" s="12">
        <v>10000000</v>
      </c>
      <c r="F334" t="str" cm="1">
        <f t="array" ref="F334">_xlfn.IFS(G334&lt;5000000, "Bronze", G334&lt;10000000, "Silver", G334&lt;20000000, "Gold", G334&gt;=20000000, "Diamond")</f>
        <v>Diamond</v>
      </c>
      <c r="G334" s="11">
        <f>SUMIF(Data_Donasi[Nama_Donatur],Data_Donasi[[#This Row],[Nama_Donatur]],Data_Donasi[Nominal])</f>
        <v>42050000</v>
      </c>
    </row>
    <row r="335" spans="1:7" x14ac:dyDescent="0.3">
      <c r="A335" s="14" t="s">
        <v>70</v>
      </c>
      <c r="B335" s="4" t="s">
        <v>170</v>
      </c>
      <c r="C335" s="4" t="s">
        <v>270</v>
      </c>
      <c r="D335" s="9">
        <v>45749</v>
      </c>
      <c r="E335" s="12">
        <v>500000</v>
      </c>
      <c r="F335" t="str" cm="1">
        <f t="array" ref="F335">_xlfn.IFS(G335&lt;5000000, "Bronze", G335&lt;10000000, "Silver", G335&lt;20000000, "Gold", G335&gt;=20000000, "Diamond")</f>
        <v>Diamond</v>
      </c>
      <c r="G335" s="11">
        <f>SUMIF(Data_Donasi[Nama_Donatur],Data_Donasi[[#This Row],[Nama_Donatur]],Data_Donasi[Nominal])</f>
        <v>21600000</v>
      </c>
    </row>
    <row r="336" spans="1:7" x14ac:dyDescent="0.3">
      <c r="A336" s="14" t="s">
        <v>71</v>
      </c>
      <c r="B336" s="4" t="s">
        <v>171</v>
      </c>
      <c r="C336" s="4" t="s">
        <v>271</v>
      </c>
      <c r="D336" s="9">
        <v>45749</v>
      </c>
      <c r="E336" s="12">
        <v>50000</v>
      </c>
      <c r="F336" t="str" cm="1">
        <f t="array" ref="F336">_xlfn.IFS(G336&lt;5000000, "Bronze", G336&lt;10000000, "Silver", G336&lt;20000000, "Gold", G336&gt;=20000000, "Diamond")</f>
        <v>Gold</v>
      </c>
      <c r="G336" s="11">
        <f>SUMIF(Data_Donasi[Nama_Donatur],Data_Donasi[[#This Row],[Nama_Donatur]],Data_Donasi[Nominal])</f>
        <v>15200000</v>
      </c>
    </row>
    <row r="337" spans="1:7" x14ac:dyDescent="0.3">
      <c r="A337" s="14" t="s">
        <v>21</v>
      </c>
      <c r="B337" s="4" t="s">
        <v>121</v>
      </c>
      <c r="C337" s="4" t="s">
        <v>221</v>
      </c>
      <c r="D337" s="9">
        <v>45749</v>
      </c>
      <c r="E337" s="12">
        <v>20000000</v>
      </c>
      <c r="F337" t="str" cm="1">
        <f t="array" ref="F337">_xlfn.IFS(G337&lt;5000000, "Bronze", G337&lt;10000000, "Silver", G337&lt;20000000, "Gold", G337&gt;=20000000, "Diamond")</f>
        <v>Diamond</v>
      </c>
      <c r="G337" s="11">
        <f>SUMIF(Data_Donasi[Nama_Donatur],Data_Donasi[[#This Row],[Nama_Donatur]],Data_Donasi[Nominal])</f>
        <v>61950000</v>
      </c>
    </row>
    <row r="338" spans="1:7" x14ac:dyDescent="0.3">
      <c r="A338" s="14" t="s">
        <v>48</v>
      </c>
      <c r="B338" s="4" t="s">
        <v>148</v>
      </c>
      <c r="C338" s="4" t="s">
        <v>248</v>
      </c>
      <c r="D338" s="9">
        <v>45749</v>
      </c>
      <c r="E338" s="12">
        <v>2000000</v>
      </c>
      <c r="F338" t="str" cm="1">
        <f t="array" ref="F338">_xlfn.IFS(G338&lt;5000000, "Bronze", G338&lt;10000000, "Silver", G338&lt;20000000, "Gold", G338&gt;=20000000, "Diamond")</f>
        <v>Diamond</v>
      </c>
      <c r="G338" s="11">
        <f>SUMIF(Data_Donasi[Nama_Donatur],Data_Donasi[[#This Row],[Nama_Donatur]],Data_Donasi[Nominal])</f>
        <v>41150000</v>
      </c>
    </row>
    <row r="339" spans="1:7" x14ac:dyDescent="0.3">
      <c r="A339" s="14" t="s">
        <v>53</v>
      </c>
      <c r="B339" s="4" t="s">
        <v>153</v>
      </c>
      <c r="C339" s="4" t="s">
        <v>253</v>
      </c>
      <c r="D339" s="9">
        <v>45750</v>
      </c>
      <c r="E339" s="12">
        <v>150000</v>
      </c>
      <c r="F339" t="str" cm="1">
        <f t="array" ref="F339">_xlfn.IFS(G339&lt;5000000, "Bronze", G339&lt;10000000, "Silver", G339&lt;20000000, "Gold", G339&gt;=20000000, "Diamond")</f>
        <v>Gold</v>
      </c>
      <c r="G339" s="11">
        <f>SUMIF(Data_Donasi[Nama_Donatur],Data_Donasi[[#This Row],[Nama_Donatur]],Data_Donasi[Nominal])</f>
        <v>10350000</v>
      </c>
    </row>
    <row r="340" spans="1:7" x14ac:dyDescent="0.3">
      <c r="A340" s="14" t="s">
        <v>38</v>
      </c>
      <c r="B340" s="4" t="s">
        <v>138</v>
      </c>
      <c r="C340" s="4" t="s">
        <v>238</v>
      </c>
      <c r="D340" s="9">
        <v>45750</v>
      </c>
      <c r="E340" s="12">
        <v>100000</v>
      </c>
      <c r="F340" t="str" cm="1">
        <f t="array" ref="F340">_xlfn.IFS(G340&lt;5000000, "Bronze", G340&lt;10000000, "Silver", G340&lt;20000000, "Gold", G340&gt;=20000000, "Diamond")</f>
        <v>Diamond</v>
      </c>
      <c r="G340" s="11">
        <f>SUMIF(Data_Donasi[Nama_Donatur],Data_Donasi[[#This Row],[Nama_Donatur]],Data_Donasi[Nominal])</f>
        <v>35400000</v>
      </c>
    </row>
    <row r="341" spans="1:7" x14ac:dyDescent="0.3">
      <c r="A341" s="14" t="s">
        <v>97</v>
      </c>
      <c r="B341" s="4" t="s">
        <v>197</v>
      </c>
      <c r="C341" s="4" t="s">
        <v>297</v>
      </c>
      <c r="D341" s="9">
        <v>45750</v>
      </c>
      <c r="E341" s="12">
        <v>500000</v>
      </c>
      <c r="F341" t="str" cm="1">
        <f t="array" ref="F341">_xlfn.IFS(G341&lt;5000000, "Bronze", G341&lt;10000000, "Silver", G341&lt;20000000, "Gold", G341&gt;=20000000, "Diamond")</f>
        <v>Diamond</v>
      </c>
      <c r="G341" s="11">
        <f>SUMIF(Data_Donasi[Nama_Donatur],Data_Donasi[[#This Row],[Nama_Donatur]],Data_Donasi[Nominal])</f>
        <v>52700000</v>
      </c>
    </row>
    <row r="342" spans="1:7" x14ac:dyDescent="0.3">
      <c r="A342" s="14" t="s">
        <v>65</v>
      </c>
      <c r="B342" s="4" t="s">
        <v>165</v>
      </c>
      <c r="C342" s="4" t="s">
        <v>265</v>
      </c>
      <c r="D342" s="9">
        <v>45751</v>
      </c>
      <c r="E342" s="12">
        <v>2000000</v>
      </c>
      <c r="F342" t="str" cm="1">
        <f t="array" ref="F342">_xlfn.IFS(G342&lt;5000000, "Bronze", G342&lt;10000000, "Silver", G342&lt;20000000, "Gold", G342&gt;=20000000, "Diamond")</f>
        <v>Diamond</v>
      </c>
      <c r="G342" s="11">
        <f>SUMIF(Data_Donasi[Nama_Donatur],Data_Donasi[[#This Row],[Nama_Donatur]],Data_Donasi[Nominal])</f>
        <v>40750000</v>
      </c>
    </row>
    <row r="343" spans="1:7" x14ac:dyDescent="0.3">
      <c r="A343" s="14" t="s">
        <v>21</v>
      </c>
      <c r="B343" s="4" t="s">
        <v>121</v>
      </c>
      <c r="C343" s="4" t="s">
        <v>221</v>
      </c>
      <c r="D343" s="9">
        <v>45751</v>
      </c>
      <c r="E343" s="12">
        <v>500000</v>
      </c>
      <c r="F343" t="str" cm="1">
        <f t="array" ref="F343">_xlfn.IFS(G343&lt;5000000, "Bronze", G343&lt;10000000, "Silver", G343&lt;20000000, "Gold", G343&gt;=20000000, "Diamond")</f>
        <v>Diamond</v>
      </c>
      <c r="G343" s="11">
        <f>SUMIF(Data_Donasi[Nama_Donatur],Data_Donasi[[#This Row],[Nama_Donatur]],Data_Donasi[Nominal])</f>
        <v>61950000</v>
      </c>
    </row>
    <row r="344" spans="1:7" x14ac:dyDescent="0.3">
      <c r="A344" s="14" t="s">
        <v>88</v>
      </c>
      <c r="B344" s="4" t="s">
        <v>188</v>
      </c>
      <c r="C344" s="4" t="s">
        <v>288</v>
      </c>
      <c r="D344" s="9">
        <v>45751</v>
      </c>
      <c r="E344" s="12">
        <v>2000000</v>
      </c>
      <c r="F344" t="str" cm="1">
        <f t="array" ref="F344">_xlfn.IFS(G344&lt;5000000, "Bronze", G344&lt;10000000, "Silver", G344&lt;20000000, "Gold", G344&gt;=20000000, "Diamond")</f>
        <v>Diamond</v>
      </c>
      <c r="G344" s="11">
        <f>SUMIF(Data_Donasi[Nama_Donatur],Data_Donasi[[#This Row],[Nama_Donatur]],Data_Donasi[Nominal])</f>
        <v>51750000</v>
      </c>
    </row>
    <row r="345" spans="1:7" x14ac:dyDescent="0.3">
      <c r="A345" s="14" t="s">
        <v>67</v>
      </c>
      <c r="B345" s="4" t="s">
        <v>167</v>
      </c>
      <c r="C345" s="4" t="s">
        <v>267</v>
      </c>
      <c r="D345" s="9">
        <v>45751</v>
      </c>
      <c r="E345" s="12">
        <v>150000</v>
      </c>
      <c r="F345" t="str" cm="1">
        <f t="array" ref="F345">_xlfn.IFS(G345&lt;5000000, "Bronze", G345&lt;10000000, "Silver", G345&lt;20000000, "Gold", G345&gt;=20000000, "Diamond")</f>
        <v>Diamond</v>
      </c>
      <c r="G345" s="11">
        <f>SUMIF(Data_Donasi[Nama_Donatur],Data_Donasi[[#This Row],[Nama_Donatur]],Data_Donasi[Nominal])</f>
        <v>28450000</v>
      </c>
    </row>
    <row r="346" spans="1:7" x14ac:dyDescent="0.3">
      <c r="A346" s="14" t="s">
        <v>16</v>
      </c>
      <c r="B346" s="4" t="s">
        <v>116</v>
      </c>
      <c r="C346" s="4" t="s">
        <v>216</v>
      </c>
      <c r="D346" s="9">
        <v>45752</v>
      </c>
      <c r="E346" s="12">
        <v>3000000</v>
      </c>
      <c r="F346" t="str" cm="1">
        <f t="array" ref="F346">_xlfn.IFS(G346&lt;5000000, "Bronze", G346&lt;10000000, "Silver", G346&lt;20000000, "Gold", G346&gt;=20000000, "Diamond")</f>
        <v>Diamond</v>
      </c>
      <c r="G346" s="11">
        <f>SUMIF(Data_Donasi[Nama_Donatur],Data_Donasi[[#This Row],[Nama_Donatur]],Data_Donasi[Nominal])</f>
        <v>48350000</v>
      </c>
    </row>
    <row r="347" spans="1:7" x14ac:dyDescent="0.3">
      <c r="A347" s="14" t="s">
        <v>95</v>
      </c>
      <c r="B347" s="4" t="s">
        <v>195</v>
      </c>
      <c r="C347" s="4" t="s">
        <v>295</v>
      </c>
      <c r="D347" s="9">
        <v>45752</v>
      </c>
      <c r="E347" s="12">
        <v>150000</v>
      </c>
      <c r="F347" t="str" cm="1">
        <f t="array" ref="F347">_xlfn.IFS(G347&lt;5000000, "Bronze", G347&lt;10000000, "Silver", G347&lt;20000000, "Gold", G347&gt;=20000000, "Diamond")</f>
        <v>Diamond</v>
      </c>
      <c r="G347" s="11">
        <f>SUMIF(Data_Donasi[Nama_Donatur],Data_Donasi[[#This Row],[Nama_Donatur]],Data_Donasi[Nominal])</f>
        <v>30000000</v>
      </c>
    </row>
    <row r="348" spans="1:7" x14ac:dyDescent="0.3">
      <c r="A348" s="14" t="s">
        <v>46</v>
      </c>
      <c r="B348" s="4" t="s">
        <v>146</v>
      </c>
      <c r="C348" s="4" t="s">
        <v>246</v>
      </c>
      <c r="D348" s="9">
        <v>45753</v>
      </c>
      <c r="E348" s="12">
        <v>200000</v>
      </c>
      <c r="F348" t="str" cm="1">
        <f t="array" ref="F348">_xlfn.IFS(G348&lt;5000000, "Bronze", G348&lt;10000000, "Silver", G348&lt;20000000, "Gold", G348&gt;=20000000, "Diamond")</f>
        <v>Diamond</v>
      </c>
      <c r="G348" s="11">
        <f>SUMIF(Data_Donasi[Nama_Donatur],Data_Donasi[[#This Row],[Nama_Donatur]],Data_Donasi[Nominal])</f>
        <v>48550000</v>
      </c>
    </row>
    <row r="349" spans="1:7" x14ac:dyDescent="0.3">
      <c r="A349" s="14" t="s">
        <v>22</v>
      </c>
      <c r="B349" s="4" t="s">
        <v>122</v>
      </c>
      <c r="C349" s="4" t="s">
        <v>222</v>
      </c>
      <c r="D349" s="9">
        <v>45753</v>
      </c>
      <c r="E349" s="12">
        <v>7000000</v>
      </c>
      <c r="F349" t="str" cm="1">
        <f t="array" ref="F349">_xlfn.IFS(G349&lt;5000000, "Bronze", G349&lt;10000000, "Silver", G349&lt;20000000, "Gold", G349&gt;=20000000, "Diamond")</f>
        <v>Diamond</v>
      </c>
      <c r="G349" s="11">
        <f>SUMIF(Data_Donasi[Nama_Donatur],Data_Donasi[[#This Row],[Nama_Donatur]],Data_Donasi[Nominal])</f>
        <v>67900000</v>
      </c>
    </row>
    <row r="350" spans="1:7" x14ac:dyDescent="0.3">
      <c r="A350" s="14" t="s">
        <v>82</v>
      </c>
      <c r="B350" s="4" t="s">
        <v>182</v>
      </c>
      <c r="C350" s="4" t="s">
        <v>282</v>
      </c>
      <c r="D350" s="9">
        <v>45754</v>
      </c>
      <c r="E350" s="12">
        <v>20000000</v>
      </c>
      <c r="F350" t="str" cm="1">
        <f t="array" ref="F350">_xlfn.IFS(G350&lt;5000000, "Bronze", G350&lt;10000000, "Silver", G350&lt;20000000, "Gold", G350&gt;=20000000, "Diamond")</f>
        <v>Diamond</v>
      </c>
      <c r="G350" s="11">
        <f>SUMIF(Data_Donasi[Nama_Donatur],Data_Donasi[[#This Row],[Nama_Donatur]],Data_Donasi[Nominal])</f>
        <v>63700000</v>
      </c>
    </row>
    <row r="351" spans="1:7" x14ac:dyDescent="0.3">
      <c r="A351" s="14" t="s">
        <v>56</v>
      </c>
      <c r="B351" s="4" t="s">
        <v>156</v>
      </c>
      <c r="C351" s="4" t="s">
        <v>256</v>
      </c>
      <c r="D351" s="9">
        <v>45754</v>
      </c>
      <c r="E351" s="12">
        <v>3000000</v>
      </c>
      <c r="F351" t="str" cm="1">
        <f t="array" ref="F351">_xlfn.IFS(G351&lt;5000000, "Bronze", G351&lt;10000000, "Silver", G351&lt;20000000, "Gold", G351&gt;=20000000, "Diamond")</f>
        <v>Diamond</v>
      </c>
      <c r="G351" s="11">
        <f>SUMIF(Data_Donasi[Nama_Donatur],Data_Donasi[[#This Row],[Nama_Donatur]],Data_Donasi[Nominal])</f>
        <v>49000000</v>
      </c>
    </row>
    <row r="352" spans="1:7" x14ac:dyDescent="0.3">
      <c r="A352" s="14" t="s">
        <v>23</v>
      </c>
      <c r="B352" s="4" t="s">
        <v>123</v>
      </c>
      <c r="C352" s="4" t="s">
        <v>223</v>
      </c>
      <c r="D352" s="9">
        <v>45754</v>
      </c>
      <c r="E352" s="12">
        <v>100000</v>
      </c>
      <c r="F352" t="str" cm="1">
        <f t="array" ref="F352">_xlfn.IFS(G352&lt;5000000, "Bronze", G352&lt;10000000, "Silver", G352&lt;20000000, "Gold", G352&gt;=20000000, "Diamond")</f>
        <v>Diamond</v>
      </c>
      <c r="G352" s="11">
        <f>SUMIF(Data_Donasi[Nama_Donatur],Data_Donasi[[#This Row],[Nama_Donatur]],Data_Donasi[Nominal])</f>
        <v>55250000</v>
      </c>
    </row>
    <row r="353" spans="1:7" x14ac:dyDescent="0.3">
      <c r="A353" s="14" t="s">
        <v>73</v>
      </c>
      <c r="B353" s="4" t="s">
        <v>173</v>
      </c>
      <c r="C353" s="4" t="s">
        <v>273</v>
      </c>
      <c r="D353" s="9">
        <v>45754</v>
      </c>
      <c r="E353" s="12">
        <v>2000000</v>
      </c>
      <c r="F353" t="str" cm="1">
        <f t="array" ref="F353">_xlfn.IFS(G353&lt;5000000, "Bronze", G353&lt;10000000, "Silver", G353&lt;20000000, "Gold", G353&gt;=20000000, "Diamond")</f>
        <v>Diamond</v>
      </c>
      <c r="G353" s="11">
        <f>SUMIF(Data_Donasi[Nama_Donatur],Data_Donasi[[#This Row],[Nama_Donatur]],Data_Donasi[Nominal])</f>
        <v>28750000</v>
      </c>
    </row>
    <row r="354" spans="1:7" x14ac:dyDescent="0.3">
      <c r="A354" s="14" t="s">
        <v>8</v>
      </c>
      <c r="B354" s="4" t="s">
        <v>108</v>
      </c>
      <c r="C354" s="4" t="s">
        <v>208</v>
      </c>
      <c r="D354" s="9">
        <v>45755</v>
      </c>
      <c r="E354" s="12">
        <v>250000</v>
      </c>
      <c r="F354" t="str" cm="1">
        <f t="array" ref="F354">_xlfn.IFS(G354&lt;5000000, "Bronze", G354&lt;10000000, "Silver", G354&lt;20000000, "Gold", G354&gt;=20000000, "Diamond")</f>
        <v>Diamond</v>
      </c>
      <c r="G354" s="11">
        <f>SUMIF(Data_Donasi[Nama_Donatur],Data_Donasi[[#This Row],[Nama_Donatur]],Data_Donasi[Nominal])</f>
        <v>31750000</v>
      </c>
    </row>
    <row r="355" spans="1:7" x14ac:dyDescent="0.3">
      <c r="A355" s="14" t="s">
        <v>100</v>
      </c>
      <c r="B355" s="4" t="s">
        <v>200</v>
      </c>
      <c r="C355" s="4" t="s">
        <v>300</v>
      </c>
      <c r="D355" s="9">
        <v>45755</v>
      </c>
      <c r="E355" s="12">
        <v>250000</v>
      </c>
      <c r="F355" t="str" cm="1">
        <f t="array" ref="F355">_xlfn.IFS(G355&lt;5000000, "Bronze", G355&lt;10000000, "Silver", G355&lt;20000000, "Gold", G355&gt;=20000000, "Diamond")</f>
        <v>Diamond</v>
      </c>
      <c r="G355" s="11">
        <f>SUMIF(Data_Donasi[Nama_Donatur],Data_Donasi[[#This Row],[Nama_Donatur]],Data_Donasi[Nominal])</f>
        <v>40900000</v>
      </c>
    </row>
    <row r="356" spans="1:7" x14ac:dyDescent="0.3">
      <c r="A356" s="14" t="s">
        <v>95</v>
      </c>
      <c r="B356" s="4" t="s">
        <v>195</v>
      </c>
      <c r="C356" s="4" t="s">
        <v>295</v>
      </c>
      <c r="D356" s="9">
        <v>45755</v>
      </c>
      <c r="E356" s="12">
        <v>150000</v>
      </c>
      <c r="F356" t="str" cm="1">
        <f t="array" ref="F356">_xlfn.IFS(G356&lt;5000000, "Bronze", G356&lt;10000000, "Silver", G356&lt;20000000, "Gold", G356&gt;=20000000, "Diamond")</f>
        <v>Diamond</v>
      </c>
      <c r="G356" s="11">
        <f>SUMIF(Data_Donasi[Nama_Donatur],Data_Donasi[[#This Row],[Nama_Donatur]],Data_Donasi[Nominal])</f>
        <v>30000000</v>
      </c>
    </row>
    <row r="357" spans="1:7" x14ac:dyDescent="0.3">
      <c r="A357" s="14" t="s">
        <v>49</v>
      </c>
      <c r="B357" s="4" t="s">
        <v>149</v>
      </c>
      <c r="C357" s="4" t="s">
        <v>249</v>
      </c>
      <c r="D357" s="9">
        <v>45756</v>
      </c>
      <c r="E357" s="12">
        <v>150000</v>
      </c>
      <c r="F357" t="str" cm="1">
        <f t="array" ref="F357">_xlfn.IFS(G357&lt;5000000, "Bronze", G357&lt;10000000, "Silver", G357&lt;20000000, "Gold", G357&gt;=20000000, "Diamond")</f>
        <v>Bronze</v>
      </c>
      <c r="G357" s="11">
        <f>SUMIF(Data_Donasi[Nama_Donatur],Data_Donasi[[#This Row],[Nama_Donatur]],Data_Donasi[Nominal])</f>
        <v>3050000</v>
      </c>
    </row>
    <row r="358" spans="1:7" x14ac:dyDescent="0.3">
      <c r="A358" s="14" t="s">
        <v>9</v>
      </c>
      <c r="B358" s="4" t="s">
        <v>109</v>
      </c>
      <c r="C358" s="4" t="s">
        <v>209</v>
      </c>
      <c r="D358" s="9">
        <v>45756</v>
      </c>
      <c r="E358" s="12">
        <v>250000</v>
      </c>
      <c r="F358" t="str" cm="1">
        <f t="array" ref="F358">_xlfn.IFS(G358&lt;5000000, "Bronze", G358&lt;10000000, "Silver", G358&lt;20000000, "Gold", G358&gt;=20000000, "Diamond")</f>
        <v>Diamond</v>
      </c>
      <c r="G358" s="11">
        <f>SUMIF(Data_Donasi[Nama_Donatur],Data_Donasi[[#This Row],[Nama_Donatur]],Data_Donasi[Nominal])</f>
        <v>24900000</v>
      </c>
    </row>
    <row r="359" spans="1:7" x14ac:dyDescent="0.3">
      <c r="A359" s="14" t="s">
        <v>61</v>
      </c>
      <c r="B359" s="4" t="s">
        <v>161</v>
      </c>
      <c r="C359" s="4" t="s">
        <v>261</v>
      </c>
      <c r="D359" s="9">
        <v>45757</v>
      </c>
      <c r="E359" s="12">
        <v>150000</v>
      </c>
      <c r="F359" t="str" cm="1">
        <f t="array" ref="F359">_xlfn.IFS(G359&lt;5000000, "Bronze", G359&lt;10000000, "Silver", G359&lt;20000000, "Gold", G359&gt;=20000000, "Diamond")</f>
        <v>Diamond</v>
      </c>
      <c r="G359" s="11">
        <f>SUMIF(Data_Donasi[Nama_Donatur],Data_Donasi[[#This Row],[Nama_Donatur]],Data_Donasi[Nominal])</f>
        <v>30650000</v>
      </c>
    </row>
    <row r="360" spans="1:7" x14ac:dyDescent="0.3">
      <c r="A360" s="14" t="s">
        <v>35</v>
      </c>
      <c r="B360" s="4" t="s">
        <v>135</v>
      </c>
      <c r="C360" s="4" t="s">
        <v>235</v>
      </c>
      <c r="D360" s="9">
        <v>45757</v>
      </c>
      <c r="E360" s="12">
        <v>5000000</v>
      </c>
      <c r="F360" t="str" cm="1">
        <f t="array" ref="F360">_xlfn.IFS(G360&lt;5000000, "Bronze", G360&lt;10000000, "Silver", G360&lt;20000000, "Gold", G360&gt;=20000000, "Diamond")</f>
        <v>Diamond</v>
      </c>
      <c r="G360" s="11">
        <f>SUMIF(Data_Donasi[Nama_Donatur],Data_Donasi[[#This Row],[Nama_Donatur]],Data_Donasi[Nominal])</f>
        <v>97200000</v>
      </c>
    </row>
    <row r="361" spans="1:7" x14ac:dyDescent="0.3">
      <c r="A361" s="14" t="s">
        <v>65</v>
      </c>
      <c r="B361" s="4" t="s">
        <v>165</v>
      </c>
      <c r="C361" s="4" t="s">
        <v>265</v>
      </c>
      <c r="D361" s="9">
        <v>45757</v>
      </c>
      <c r="E361" s="12">
        <v>50000</v>
      </c>
      <c r="F361" t="str" cm="1">
        <f t="array" ref="F361">_xlfn.IFS(G361&lt;5000000, "Bronze", G361&lt;10000000, "Silver", G361&lt;20000000, "Gold", G361&gt;=20000000, "Diamond")</f>
        <v>Diamond</v>
      </c>
      <c r="G361" s="11">
        <f>SUMIF(Data_Donasi[Nama_Donatur],Data_Donasi[[#This Row],[Nama_Donatur]],Data_Donasi[Nominal])</f>
        <v>40750000</v>
      </c>
    </row>
    <row r="362" spans="1:7" x14ac:dyDescent="0.3">
      <c r="A362" s="14" t="s">
        <v>66</v>
      </c>
      <c r="B362" s="4" t="s">
        <v>166</v>
      </c>
      <c r="C362" s="4" t="s">
        <v>266</v>
      </c>
      <c r="D362" s="9">
        <v>45757</v>
      </c>
      <c r="E362" s="12">
        <v>200000</v>
      </c>
      <c r="F362" t="str" cm="1">
        <f t="array" ref="F362">_xlfn.IFS(G362&lt;5000000, "Bronze", G362&lt;10000000, "Silver", G362&lt;20000000, "Gold", G362&gt;=20000000, "Diamond")</f>
        <v>Diamond</v>
      </c>
      <c r="G362" s="11">
        <f>SUMIF(Data_Donasi[Nama_Donatur],Data_Donasi[[#This Row],[Nama_Donatur]],Data_Donasi[Nominal])</f>
        <v>26350000</v>
      </c>
    </row>
    <row r="363" spans="1:7" x14ac:dyDescent="0.3">
      <c r="A363" s="14" t="s">
        <v>14</v>
      </c>
      <c r="B363" s="4" t="s">
        <v>114</v>
      </c>
      <c r="C363" s="4" t="s">
        <v>214</v>
      </c>
      <c r="D363" s="9">
        <v>45758</v>
      </c>
      <c r="E363" s="12">
        <v>150000</v>
      </c>
      <c r="F363" t="str" cm="1">
        <f t="array" ref="F363">_xlfn.IFS(G363&lt;5000000, "Bronze", G363&lt;10000000, "Silver", G363&lt;20000000, "Gold", G363&gt;=20000000, "Diamond")</f>
        <v>Diamond</v>
      </c>
      <c r="G363" s="11">
        <f>SUMIF(Data_Donasi[Nama_Donatur],Data_Donasi[[#This Row],[Nama_Donatur]],Data_Donasi[Nominal])</f>
        <v>73750000</v>
      </c>
    </row>
    <row r="364" spans="1:7" x14ac:dyDescent="0.3">
      <c r="A364" s="14" t="s">
        <v>68</v>
      </c>
      <c r="B364" s="4" t="s">
        <v>168</v>
      </c>
      <c r="C364" s="4" t="s">
        <v>268</v>
      </c>
      <c r="D364" s="9">
        <v>45758</v>
      </c>
      <c r="E364" s="12">
        <v>1000000</v>
      </c>
      <c r="F364" t="str" cm="1">
        <f t="array" ref="F364">_xlfn.IFS(G364&lt;5000000, "Bronze", G364&lt;10000000, "Silver", G364&lt;20000000, "Gold", G364&gt;=20000000, "Diamond")</f>
        <v>Diamond</v>
      </c>
      <c r="G364" s="11">
        <f>SUMIF(Data_Donasi[Nama_Donatur],Data_Donasi[[#This Row],[Nama_Donatur]],Data_Donasi[Nominal])</f>
        <v>24500000</v>
      </c>
    </row>
    <row r="365" spans="1:7" x14ac:dyDescent="0.3">
      <c r="A365" s="14" t="s">
        <v>15</v>
      </c>
      <c r="B365" s="4" t="s">
        <v>115</v>
      </c>
      <c r="C365" s="4" t="s">
        <v>215</v>
      </c>
      <c r="D365" s="9">
        <v>45758</v>
      </c>
      <c r="E365" s="12">
        <v>500000</v>
      </c>
      <c r="F365" t="str" cm="1">
        <f t="array" ref="F365">_xlfn.IFS(G365&lt;5000000, "Bronze", G365&lt;10000000, "Silver", G365&lt;20000000, "Gold", G365&gt;=20000000, "Diamond")</f>
        <v>Diamond</v>
      </c>
      <c r="G365" s="11">
        <f>SUMIF(Data_Donasi[Nama_Donatur],Data_Donasi[[#This Row],[Nama_Donatur]],Data_Donasi[Nominal])</f>
        <v>84750000</v>
      </c>
    </row>
    <row r="366" spans="1:7" x14ac:dyDescent="0.3">
      <c r="A366" s="14" t="s">
        <v>102</v>
      </c>
      <c r="B366" s="4" t="s">
        <v>202</v>
      </c>
      <c r="C366" s="4" t="s">
        <v>302</v>
      </c>
      <c r="D366" s="9">
        <v>45759</v>
      </c>
      <c r="E366" s="12">
        <v>500000</v>
      </c>
      <c r="F366" t="str" cm="1">
        <f t="array" ref="F366">_xlfn.IFS(G366&lt;5000000, "Bronze", G366&lt;10000000, "Silver", G366&lt;20000000, "Gold", G366&gt;=20000000, "Diamond")</f>
        <v>Diamond</v>
      </c>
      <c r="G366" s="11">
        <f>SUMIF(Data_Donasi[Nama_Donatur],Data_Donasi[[#This Row],[Nama_Donatur]],Data_Donasi[Nominal])</f>
        <v>55750000</v>
      </c>
    </row>
    <row r="367" spans="1:7" x14ac:dyDescent="0.3">
      <c r="A367" s="14" t="s">
        <v>38</v>
      </c>
      <c r="B367" s="4" t="s">
        <v>138</v>
      </c>
      <c r="C367" s="4" t="s">
        <v>238</v>
      </c>
      <c r="D367" s="9">
        <v>45760</v>
      </c>
      <c r="E367" s="12">
        <v>7000000</v>
      </c>
      <c r="F367" t="str" cm="1">
        <f t="array" ref="F367">_xlfn.IFS(G367&lt;5000000, "Bronze", G367&lt;10000000, "Silver", G367&lt;20000000, "Gold", G367&gt;=20000000, "Diamond")</f>
        <v>Diamond</v>
      </c>
      <c r="G367" s="11">
        <f>SUMIF(Data_Donasi[Nama_Donatur],Data_Donasi[[#This Row],[Nama_Donatur]],Data_Donasi[Nominal])</f>
        <v>35400000</v>
      </c>
    </row>
    <row r="368" spans="1:7" x14ac:dyDescent="0.3">
      <c r="A368" s="14" t="s">
        <v>30</v>
      </c>
      <c r="B368" s="4" t="s">
        <v>130</v>
      </c>
      <c r="C368" s="4" t="s">
        <v>230</v>
      </c>
      <c r="D368" s="9">
        <v>45760</v>
      </c>
      <c r="E368" s="12">
        <v>20000000</v>
      </c>
      <c r="F368" t="str" cm="1">
        <f t="array" ref="F368">_xlfn.IFS(G368&lt;5000000, "Bronze", G368&lt;10000000, "Silver", G368&lt;20000000, "Gold", G368&gt;=20000000, "Diamond")</f>
        <v>Diamond</v>
      </c>
      <c r="G368" s="11">
        <f>SUMIF(Data_Donasi[Nama_Donatur],Data_Donasi[[#This Row],[Nama_Donatur]],Data_Donasi[Nominal])</f>
        <v>135600000</v>
      </c>
    </row>
    <row r="369" spans="1:7" x14ac:dyDescent="0.3">
      <c r="A369" s="14" t="s">
        <v>80</v>
      </c>
      <c r="B369" s="4" t="s">
        <v>180</v>
      </c>
      <c r="C369" s="4" t="s">
        <v>280</v>
      </c>
      <c r="D369" s="9">
        <v>45760</v>
      </c>
      <c r="E369" s="12">
        <v>7000000</v>
      </c>
      <c r="F369" t="str" cm="1">
        <f t="array" ref="F369">_xlfn.IFS(G369&lt;5000000, "Bronze", G369&lt;10000000, "Silver", G369&lt;20000000, "Gold", G369&gt;=20000000, "Diamond")</f>
        <v>Diamond</v>
      </c>
      <c r="G369" s="11">
        <f>SUMIF(Data_Donasi[Nama_Donatur],Data_Donasi[[#This Row],[Nama_Donatur]],Data_Donasi[Nominal])</f>
        <v>57850000</v>
      </c>
    </row>
    <row r="370" spans="1:7" x14ac:dyDescent="0.3">
      <c r="A370" s="14" t="s">
        <v>99</v>
      </c>
      <c r="B370" s="4" t="s">
        <v>199</v>
      </c>
      <c r="C370" s="4" t="s">
        <v>299</v>
      </c>
      <c r="D370" s="9">
        <v>45760</v>
      </c>
      <c r="E370" s="12">
        <v>10000000</v>
      </c>
      <c r="F370" t="str" cm="1">
        <f t="array" ref="F370">_xlfn.IFS(G370&lt;5000000, "Bronze", G370&lt;10000000, "Silver", G370&lt;20000000, "Gold", G370&gt;=20000000, "Diamond")</f>
        <v>Diamond</v>
      </c>
      <c r="G370" s="11">
        <f>SUMIF(Data_Donasi[Nama_Donatur],Data_Donasi[[#This Row],[Nama_Donatur]],Data_Donasi[Nominal])</f>
        <v>26300000</v>
      </c>
    </row>
    <row r="371" spans="1:7" x14ac:dyDescent="0.3">
      <c r="A371" s="14" t="s">
        <v>23</v>
      </c>
      <c r="B371" s="4" t="s">
        <v>123</v>
      </c>
      <c r="C371" s="4" t="s">
        <v>223</v>
      </c>
      <c r="D371" s="9">
        <v>45761</v>
      </c>
      <c r="E371" s="12">
        <v>1000000</v>
      </c>
      <c r="F371" t="str" cm="1">
        <f t="array" ref="F371">_xlfn.IFS(G371&lt;5000000, "Bronze", G371&lt;10000000, "Silver", G371&lt;20000000, "Gold", G371&gt;=20000000, "Diamond")</f>
        <v>Diamond</v>
      </c>
      <c r="G371" s="11">
        <f>SUMIF(Data_Donasi[Nama_Donatur],Data_Donasi[[#This Row],[Nama_Donatur]],Data_Donasi[Nominal])</f>
        <v>55250000</v>
      </c>
    </row>
    <row r="372" spans="1:7" x14ac:dyDescent="0.3">
      <c r="A372" s="14" t="s">
        <v>34</v>
      </c>
      <c r="B372" s="4" t="s">
        <v>134</v>
      </c>
      <c r="C372" s="4" t="s">
        <v>234</v>
      </c>
      <c r="D372" s="9">
        <v>45761</v>
      </c>
      <c r="E372" s="12">
        <v>2000000</v>
      </c>
      <c r="F372" t="str" cm="1">
        <f t="array" ref="F372">_xlfn.IFS(G372&lt;5000000, "Bronze", G372&lt;10000000, "Silver", G372&lt;20000000, "Gold", G372&gt;=20000000, "Diamond")</f>
        <v>Gold</v>
      </c>
      <c r="G372" s="11">
        <f>SUMIF(Data_Donasi[Nama_Donatur],Data_Donasi[[#This Row],[Nama_Donatur]],Data_Donasi[Nominal])</f>
        <v>18400000</v>
      </c>
    </row>
    <row r="373" spans="1:7" x14ac:dyDescent="0.3">
      <c r="A373" s="14" t="s">
        <v>90</v>
      </c>
      <c r="B373" s="4" t="s">
        <v>190</v>
      </c>
      <c r="C373" s="4" t="s">
        <v>290</v>
      </c>
      <c r="D373" s="9">
        <v>45762</v>
      </c>
      <c r="E373" s="12">
        <v>10000000</v>
      </c>
      <c r="F373" t="str" cm="1">
        <f t="array" ref="F373">_xlfn.IFS(G373&lt;5000000, "Bronze", G373&lt;10000000, "Silver", G373&lt;20000000, "Gold", G373&gt;=20000000, "Diamond")</f>
        <v>Diamond</v>
      </c>
      <c r="G373" s="11">
        <f>SUMIF(Data_Donasi[Nama_Donatur],Data_Donasi[[#This Row],[Nama_Donatur]],Data_Donasi[Nominal])</f>
        <v>52300000</v>
      </c>
    </row>
    <row r="374" spans="1:7" x14ac:dyDescent="0.3">
      <c r="A374" s="14" t="s">
        <v>47</v>
      </c>
      <c r="B374" s="4" t="s">
        <v>147</v>
      </c>
      <c r="C374" s="4" t="s">
        <v>247</v>
      </c>
      <c r="D374" s="9">
        <v>45762</v>
      </c>
      <c r="E374" s="12">
        <v>7000000</v>
      </c>
      <c r="F374" t="str" cm="1">
        <f t="array" ref="F374">_xlfn.IFS(G374&lt;5000000, "Bronze", G374&lt;10000000, "Silver", G374&lt;20000000, "Gold", G374&gt;=20000000, "Diamond")</f>
        <v>Diamond</v>
      </c>
      <c r="G374" s="11">
        <f>SUMIF(Data_Donasi[Nama_Donatur],Data_Donasi[[#This Row],[Nama_Donatur]],Data_Donasi[Nominal])</f>
        <v>45000000</v>
      </c>
    </row>
    <row r="375" spans="1:7" x14ac:dyDescent="0.3">
      <c r="A375" s="14" t="s">
        <v>64</v>
      </c>
      <c r="B375" s="4" t="s">
        <v>164</v>
      </c>
      <c r="C375" s="4" t="s">
        <v>264</v>
      </c>
      <c r="D375" s="9">
        <v>45762</v>
      </c>
      <c r="E375" s="12">
        <v>100000</v>
      </c>
      <c r="F375" t="str" cm="1">
        <f t="array" ref="F375">_xlfn.IFS(G375&lt;5000000, "Bronze", G375&lt;10000000, "Silver", G375&lt;20000000, "Gold", G375&gt;=20000000, "Diamond")</f>
        <v>Diamond</v>
      </c>
      <c r="G375" s="11">
        <f>SUMIF(Data_Donasi[Nama_Donatur],Data_Donasi[[#This Row],[Nama_Donatur]],Data_Donasi[Nominal])</f>
        <v>27750000</v>
      </c>
    </row>
    <row r="376" spans="1:7" x14ac:dyDescent="0.3">
      <c r="A376" s="14" t="s">
        <v>17</v>
      </c>
      <c r="B376" s="4" t="s">
        <v>117</v>
      </c>
      <c r="C376" s="4" t="s">
        <v>217</v>
      </c>
      <c r="D376" s="9">
        <v>45762</v>
      </c>
      <c r="E376" s="12">
        <v>150000</v>
      </c>
      <c r="F376" t="str" cm="1">
        <f t="array" ref="F376">_xlfn.IFS(G376&lt;5000000, "Bronze", G376&lt;10000000, "Silver", G376&lt;20000000, "Gold", G376&gt;=20000000, "Diamond")</f>
        <v>Diamond</v>
      </c>
      <c r="G376" s="11">
        <f>SUMIF(Data_Donasi[Nama_Donatur],Data_Donasi[[#This Row],[Nama_Donatur]],Data_Donasi[Nominal])</f>
        <v>86000000</v>
      </c>
    </row>
    <row r="377" spans="1:7" x14ac:dyDescent="0.3">
      <c r="A377" s="14" t="s">
        <v>23</v>
      </c>
      <c r="B377" s="4" t="s">
        <v>123</v>
      </c>
      <c r="C377" s="4" t="s">
        <v>223</v>
      </c>
      <c r="D377" s="9">
        <v>45762</v>
      </c>
      <c r="E377" s="12">
        <v>20000000</v>
      </c>
      <c r="F377" t="str" cm="1">
        <f t="array" ref="F377">_xlfn.IFS(G377&lt;5000000, "Bronze", G377&lt;10000000, "Silver", G377&lt;20000000, "Gold", G377&gt;=20000000, "Diamond")</f>
        <v>Diamond</v>
      </c>
      <c r="G377" s="11">
        <f>SUMIF(Data_Donasi[Nama_Donatur],Data_Donasi[[#This Row],[Nama_Donatur]],Data_Donasi[Nominal])</f>
        <v>55250000</v>
      </c>
    </row>
    <row r="378" spans="1:7" x14ac:dyDescent="0.3">
      <c r="A378" s="14" t="s">
        <v>53</v>
      </c>
      <c r="B378" s="4" t="s">
        <v>153</v>
      </c>
      <c r="C378" s="4" t="s">
        <v>253</v>
      </c>
      <c r="D378" s="9">
        <v>45762</v>
      </c>
      <c r="E378" s="12">
        <v>10000000</v>
      </c>
      <c r="F378" t="str" cm="1">
        <f t="array" ref="F378">_xlfn.IFS(G378&lt;5000000, "Bronze", G378&lt;10000000, "Silver", G378&lt;20000000, "Gold", G378&gt;=20000000, "Diamond")</f>
        <v>Gold</v>
      </c>
      <c r="G378" s="11">
        <f>SUMIF(Data_Donasi[Nama_Donatur],Data_Donasi[[#This Row],[Nama_Donatur]],Data_Donasi[Nominal])</f>
        <v>10350000</v>
      </c>
    </row>
    <row r="379" spans="1:7" x14ac:dyDescent="0.3">
      <c r="A379" s="14" t="s">
        <v>48</v>
      </c>
      <c r="B379" s="4" t="s">
        <v>148</v>
      </c>
      <c r="C379" s="4" t="s">
        <v>248</v>
      </c>
      <c r="D379" s="9">
        <v>45763</v>
      </c>
      <c r="E379" s="12">
        <v>3000000</v>
      </c>
      <c r="F379" t="str" cm="1">
        <f t="array" ref="F379">_xlfn.IFS(G379&lt;5000000, "Bronze", G379&lt;10000000, "Silver", G379&lt;20000000, "Gold", G379&gt;=20000000, "Diamond")</f>
        <v>Diamond</v>
      </c>
      <c r="G379" s="11">
        <f>SUMIF(Data_Donasi[Nama_Donatur],Data_Donasi[[#This Row],[Nama_Donatur]],Data_Donasi[Nominal])</f>
        <v>41150000</v>
      </c>
    </row>
    <row r="380" spans="1:7" x14ac:dyDescent="0.3">
      <c r="A380" s="14" t="s">
        <v>69</v>
      </c>
      <c r="B380" s="4" t="s">
        <v>169</v>
      </c>
      <c r="C380" s="4" t="s">
        <v>269</v>
      </c>
      <c r="D380" s="9">
        <v>45763</v>
      </c>
      <c r="E380" s="12">
        <v>50000</v>
      </c>
      <c r="F380" t="str" cm="1">
        <f t="array" ref="F380">_xlfn.IFS(G380&lt;5000000, "Bronze", G380&lt;10000000, "Silver", G380&lt;20000000, "Gold", G380&gt;=20000000, "Diamond")</f>
        <v>Diamond</v>
      </c>
      <c r="G380" s="11">
        <f>SUMIF(Data_Donasi[Nama_Donatur],Data_Donasi[[#This Row],[Nama_Donatur]],Data_Donasi[Nominal])</f>
        <v>53350000</v>
      </c>
    </row>
    <row r="381" spans="1:7" x14ac:dyDescent="0.3">
      <c r="A381" s="14" t="s">
        <v>8</v>
      </c>
      <c r="B381" s="4" t="s">
        <v>108</v>
      </c>
      <c r="C381" s="4" t="s">
        <v>208</v>
      </c>
      <c r="D381" s="9">
        <v>45763</v>
      </c>
      <c r="E381" s="12">
        <v>500000</v>
      </c>
      <c r="F381" t="str" cm="1">
        <f t="array" ref="F381">_xlfn.IFS(G381&lt;5000000, "Bronze", G381&lt;10000000, "Silver", G381&lt;20000000, "Gold", G381&gt;=20000000, "Diamond")</f>
        <v>Diamond</v>
      </c>
      <c r="G381" s="11">
        <f>SUMIF(Data_Donasi[Nama_Donatur],Data_Donasi[[#This Row],[Nama_Donatur]],Data_Donasi[Nominal])</f>
        <v>31750000</v>
      </c>
    </row>
    <row r="382" spans="1:7" x14ac:dyDescent="0.3">
      <c r="A382" s="14" t="s">
        <v>79</v>
      </c>
      <c r="B382" s="4" t="s">
        <v>179</v>
      </c>
      <c r="C382" s="4" t="s">
        <v>279</v>
      </c>
      <c r="D382" s="9">
        <v>45763</v>
      </c>
      <c r="E382" s="12">
        <v>500000</v>
      </c>
      <c r="F382" t="str" cm="1">
        <f t="array" ref="F382">_xlfn.IFS(G382&lt;5000000, "Bronze", G382&lt;10000000, "Silver", G382&lt;20000000, "Gold", G382&gt;=20000000, "Diamond")</f>
        <v>Diamond</v>
      </c>
      <c r="G382" s="11">
        <f>SUMIF(Data_Donasi[Nama_Donatur],Data_Donasi[[#This Row],[Nama_Donatur]],Data_Donasi[Nominal])</f>
        <v>23700000</v>
      </c>
    </row>
    <row r="383" spans="1:7" x14ac:dyDescent="0.3">
      <c r="A383" s="14" t="s">
        <v>97</v>
      </c>
      <c r="B383" s="4" t="s">
        <v>197</v>
      </c>
      <c r="C383" s="4" t="s">
        <v>297</v>
      </c>
      <c r="D383" s="9">
        <v>45763</v>
      </c>
      <c r="E383" s="12">
        <v>250000</v>
      </c>
      <c r="F383" t="str" cm="1">
        <f t="array" ref="F383">_xlfn.IFS(G383&lt;5000000, "Bronze", G383&lt;10000000, "Silver", G383&lt;20000000, "Gold", G383&gt;=20000000, "Diamond")</f>
        <v>Diamond</v>
      </c>
      <c r="G383" s="11">
        <f>SUMIF(Data_Donasi[Nama_Donatur],Data_Donasi[[#This Row],[Nama_Donatur]],Data_Donasi[Nominal])</f>
        <v>52700000</v>
      </c>
    </row>
    <row r="384" spans="1:7" x14ac:dyDescent="0.3">
      <c r="A384" s="14" t="s">
        <v>28</v>
      </c>
      <c r="B384" s="4" t="s">
        <v>128</v>
      </c>
      <c r="C384" s="4" t="s">
        <v>228</v>
      </c>
      <c r="D384" s="9">
        <v>45763</v>
      </c>
      <c r="E384" s="12">
        <v>10000000</v>
      </c>
      <c r="F384" t="str" cm="1">
        <f t="array" ref="F384">_xlfn.IFS(G384&lt;5000000, "Bronze", G384&lt;10000000, "Silver", G384&lt;20000000, "Gold", G384&gt;=20000000, "Diamond")</f>
        <v>Diamond</v>
      </c>
      <c r="G384" s="11">
        <f>SUMIF(Data_Donasi[Nama_Donatur],Data_Donasi[[#This Row],[Nama_Donatur]],Data_Donasi[Nominal])</f>
        <v>26900000</v>
      </c>
    </row>
    <row r="385" spans="1:7" x14ac:dyDescent="0.3">
      <c r="A385" s="14" t="s">
        <v>20</v>
      </c>
      <c r="B385" s="4" t="s">
        <v>120</v>
      </c>
      <c r="C385" s="4" t="s">
        <v>220</v>
      </c>
      <c r="D385" s="9">
        <v>45763</v>
      </c>
      <c r="E385" s="12">
        <v>7000000</v>
      </c>
      <c r="F385" t="str" cm="1">
        <f t="array" ref="F385">_xlfn.IFS(G385&lt;5000000, "Bronze", G385&lt;10000000, "Silver", G385&lt;20000000, "Gold", G385&gt;=20000000, "Diamond")</f>
        <v>Diamond</v>
      </c>
      <c r="G385" s="11">
        <f>SUMIF(Data_Donasi[Nama_Donatur],Data_Donasi[[#This Row],[Nama_Donatur]],Data_Donasi[Nominal])</f>
        <v>25800000</v>
      </c>
    </row>
    <row r="386" spans="1:7" x14ac:dyDescent="0.3">
      <c r="A386" s="14" t="s">
        <v>84</v>
      </c>
      <c r="B386" s="4" t="s">
        <v>184</v>
      </c>
      <c r="C386" s="4" t="s">
        <v>284</v>
      </c>
      <c r="D386" s="9">
        <v>45764</v>
      </c>
      <c r="E386" s="12">
        <v>100000</v>
      </c>
      <c r="F386" t="str" cm="1">
        <f t="array" ref="F386">_xlfn.IFS(G386&lt;5000000, "Bronze", G386&lt;10000000, "Silver", G386&lt;20000000, "Gold", G386&gt;=20000000, "Diamond")</f>
        <v>Diamond</v>
      </c>
      <c r="G386" s="11">
        <f>SUMIF(Data_Donasi[Nama_Donatur],Data_Donasi[[#This Row],[Nama_Donatur]],Data_Donasi[Nominal])</f>
        <v>33150000</v>
      </c>
    </row>
    <row r="387" spans="1:7" x14ac:dyDescent="0.3">
      <c r="A387" s="14" t="s">
        <v>19</v>
      </c>
      <c r="B387" s="4" t="s">
        <v>119</v>
      </c>
      <c r="C387" s="4" t="s">
        <v>219</v>
      </c>
      <c r="D387" s="9">
        <v>45764</v>
      </c>
      <c r="E387" s="12">
        <v>20000000</v>
      </c>
      <c r="F387" t="str" cm="1">
        <f t="array" ref="F387">_xlfn.IFS(G387&lt;5000000, "Bronze", G387&lt;10000000, "Silver", G387&lt;20000000, "Gold", G387&gt;=20000000, "Diamond")</f>
        <v>Diamond</v>
      </c>
      <c r="G387" s="11">
        <f>SUMIF(Data_Donasi[Nama_Donatur],Data_Donasi[[#This Row],[Nama_Donatur]],Data_Donasi[Nominal])</f>
        <v>63400000</v>
      </c>
    </row>
    <row r="388" spans="1:7" x14ac:dyDescent="0.3">
      <c r="A388" s="14" t="s">
        <v>6</v>
      </c>
      <c r="B388" s="4" t="s">
        <v>106</v>
      </c>
      <c r="C388" s="4" t="s">
        <v>206</v>
      </c>
      <c r="D388" s="9">
        <v>45764</v>
      </c>
      <c r="E388" s="12">
        <v>10000000</v>
      </c>
      <c r="F388" t="str" cm="1">
        <f t="array" ref="F388">_xlfn.IFS(G388&lt;5000000, "Bronze", G388&lt;10000000, "Silver", G388&lt;20000000, "Gold", G388&gt;=20000000, "Diamond")</f>
        <v>Diamond</v>
      </c>
      <c r="G388" s="11">
        <f>SUMIF(Data_Donasi[Nama_Donatur],Data_Donasi[[#This Row],[Nama_Donatur]],Data_Donasi[Nominal])</f>
        <v>47600000</v>
      </c>
    </row>
    <row r="389" spans="1:7" x14ac:dyDescent="0.3">
      <c r="A389" s="14" t="s">
        <v>33</v>
      </c>
      <c r="B389" s="4" t="s">
        <v>133</v>
      </c>
      <c r="C389" s="4" t="s">
        <v>233</v>
      </c>
      <c r="D389" s="9">
        <v>45765</v>
      </c>
      <c r="E389" s="12">
        <v>150000</v>
      </c>
      <c r="F389" t="str" cm="1">
        <f t="array" ref="F389">_xlfn.IFS(G389&lt;5000000, "Bronze", G389&lt;10000000, "Silver", G389&lt;20000000, "Gold", G389&gt;=20000000, "Diamond")</f>
        <v>Diamond</v>
      </c>
      <c r="G389" s="11">
        <f>SUMIF(Data_Donasi[Nama_Donatur],Data_Donasi[[#This Row],[Nama_Donatur]],Data_Donasi[Nominal])</f>
        <v>56850000</v>
      </c>
    </row>
    <row r="390" spans="1:7" x14ac:dyDescent="0.3">
      <c r="A390" s="14" t="s">
        <v>11</v>
      </c>
      <c r="B390" s="4" t="s">
        <v>111</v>
      </c>
      <c r="C390" s="4" t="s">
        <v>211</v>
      </c>
      <c r="D390" s="9">
        <v>45766</v>
      </c>
      <c r="E390" s="12">
        <v>7000000</v>
      </c>
      <c r="F390" t="str" cm="1">
        <f t="array" ref="F390">_xlfn.IFS(G390&lt;5000000, "Bronze", G390&lt;10000000, "Silver", G390&lt;20000000, "Gold", G390&gt;=20000000, "Diamond")</f>
        <v>Diamond</v>
      </c>
      <c r="G390" s="11">
        <f>SUMIF(Data_Donasi[Nama_Donatur],Data_Donasi[[#This Row],[Nama_Donatur]],Data_Donasi[Nominal])</f>
        <v>26800000</v>
      </c>
    </row>
    <row r="391" spans="1:7" x14ac:dyDescent="0.3">
      <c r="A391" s="14" t="s">
        <v>16</v>
      </c>
      <c r="B391" s="4" t="s">
        <v>116</v>
      </c>
      <c r="C391" s="4" t="s">
        <v>216</v>
      </c>
      <c r="D391" s="9">
        <v>45766</v>
      </c>
      <c r="E391" s="12">
        <v>50000</v>
      </c>
      <c r="F391" t="str" cm="1">
        <f t="array" ref="F391">_xlfn.IFS(G391&lt;5000000, "Bronze", G391&lt;10000000, "Silver", G391&lt;20000000, "Gold", G391&gt;=20000000, "Diamond")</f>
        <v>Diamond</v>
      </c>
      <c r="G391" s="11">
        <f>SUMIF(Data_Donasi[Nama_Donatur],Data_Donasi[[#This Row],[Nama_Donatur]],Data_Donasi[Nominal])</f>
        <v>48350000</v>
      </c>
    </row>
    <row r="392" spans="1:7" x14ac:dyDescent="0.3">
      <c r="A392" s="14" t="s">
        <v>74</v>
      </c>
      <c r="B392" s="4" t="s">
        <v>174</v>
      </c>
      <c r="C392" s="4" t="s">
        <v>274</v>
      </c>
      <c r="D392" s="9">
        <v>45767</v>
      </c>
      <c r="E392" s="12">
        <v>20000000</v>
      </c>
      <c r="F392" t="str" cm="1">
        <f t="array" ref="F392">_xlfn.IFS(G392&lt;5000000, "Bronze", G392&lt;10000000, "Silver", G392&lt;20000000, "Gold", G392&gt;=20000000, "Diamond")</f>
        <v>Diamond</v>
      </c>
      <c r="G392" s="11">
        <f>SUMIF(Data_Donasi[Nama_Donatur],Data_Donasi[[#This Row],[Nama_Donatur]],Data_Donasi[Nominal])</f>
        <v>57450000</v>
      </c>
    </row>
    <row r="393" spans="1:7" x14ac:dyDescent="0.3">
      <c r="A393" s="14" t="s">
        <v>23</v>
      </c>
      <c r="B393" s="4" t="s">
        <v>123</v>
      </c>
      <c r="C393" s="4" t="s">
        <v>223</v>
      </c>
      <c r="D393" s="9">
        <v>45767</v>
      </c>
      <c r="E393" s="12">
        <v>50000</v>
      </c>
      <c r="F393" t="str" cm="1">
        <f t="array" ref="F393">_xlfn.IFS(G393&lt;5000000, "Bronze", G393&lt;10000000, "Silver", G393&lt;20000000, "Gold", G393&gt;=20000000, "Diamond")</f>
        <v>Diamond</v>
      </c>
      <c r="G393" s="11">
        <f>SUMIF(Data_Donasi[Nama_Donatur],Data_Donasi[[#This Row],[Nama_Donatur]],Data_Donasi[Nominal])</f>
        <v>55250000</v>
      </c>
    </row>
    <row r="394" spans="1:7" x14ac:dyDescent="0.3">
      <c r="A394" s="14" t="s">
        <v>63</v>
      </c>
      <c r="B394" s="4" t="s">
        <v>163</v>
      </c>
      <c r="C394" s="4" t="s">
        <v>263</v>
      </c>
      <c r="D394" s="9">
        <v>45767</v>
      </c>
      <c r="E394" s="12">
        <v>150000</v>
      </c>
      <c r="F394" t="str" cm="1">
        <f t="array" ref="F394">_xlfn.IFS(G394&lt;5000000, "Bronze", G394&lt;10000000, "Silver", G394&lt;20000000, "Gold", G394&gt;=20000000, "Diamond")</f>
        <v>Gold</v>
      </c>
      <c r="G394" s="11">
        <f>SUMIF(Data_Donasi[Nama_Donatur],Data_Donasi[[#This Row],[Nama_Donatur]],Data_Donasi[Nominal])</f>
        <v>15700000</v>
      </c>
    </row>
    <row r="395" spans="1:7" x14ac:dyDescent="0.3">
      <c r="A395" s="14" t="s">
        <v>44</v>
      </c>
      <c r="B395" s="4" t="s">
        <v>144</v>
      </c>
      <c r="C395" s="4" t="s">
        <v>244</v>
      </c>
      <c r="D395" s="9">
        <v>45767</v>
      </c>
      <c r="E395" s="12">
        <v>100000</v>
      </c>
      <c r="F395" t="str" cm="1">
        <f t="array" ref="F395">_xlfn.IFS(G395&lt;5000000, "Bronze", G395&lt;10000000, "Silver", G395&lt;20000000, "Gold", G395&gt;=20000000, "Diamond")</f>
        <v>Diamond</v>
      </c>
      <c r="G395" s="11">
        <f>SUMIF(Data_Donasi[Nama_Donatur],Data_Donasi[[#This Row],[Nama_Donatur]],Data_Donasi[Nominal])</f>
        <v>66400000</v>
      </c>
    </row>
    <row r="396" spans="1:7" x14ac:dyDescent="0.3">
      <c r="A396" s="14" t="s">
        <v>102</v>
      </c>
      <c r="B396" s="4" t="s">
        <v>202</v>
      </c>
      <c r="C396" s="4" t="s">
        <v>302</v>
      </c>
      <c r="D396" s="9">
        <v>45767</v>
      </c>
      <c r="E396" s="12">
        <v>20000000</v>
      </c>
      <c r="F396" t="str" cm="1">
        <f t="array" ref="F396">_xlfn.IFS(G396&lt;5000000, "Bronze", G396&lt;10000000, "Silver", G396&lt;20000000, "Gold", G396&gt;=20000000, "Diamond")</f>
        <v>Diamond</v>
      </c>
      <c r="G396" s="11">
        <f>SUMIF(Data_Donasi[Nama_Donatur],Data_Donasi[[#This Row],[Nama_Donatur]],Data_Donasi[Nominal])</f>
        <v>55750000</v>
      </c>
    </row>
    <row r="397" spans="1:7" x14ac:dyDescent="0.3">
      <c r="A397" s="14" t="s">
        <v>85</v>
      </c>
      <c r="B397" s="4" t="s">
        <v>185</v>
      </c>
      <c r="C397" s="4" t="s">
        <v>285</v>
      </c>
      <c r="D397" s="9">
        <v>45768</v>
      </c>
      <c r="E397" s="12">
        <v>100000</v>
      </c>
      <c r="F397" t="str" cm="1">
        <f t="array" ref="F397">_xlfn.IFS(G397&lt;5000000, "Bronze", G397&lt;10000000, "Silver", G397&lt;20000000, "Gold", G397&gt;=20000000, "Diamond")</f>
        <v>Gold</v>
      </c>
      <c r="G397" s="11">
        <f>SUMIF(Data_Donasi[Nama_Donatur],Data_Donasi[[#This Row],[Nama_Donatur]],Data_Donasi[Nominal])</f>
        <v>18900000</v>
      </c>
    </row>
    <row r="398" spans="1:7" x14ac:dyDescent="0.3">
      <c r="A398" s="14" t="s">
        <v>6</v>
      </c>
      <c r="B398" s="4" t="s">
        <v>106</v>
      </c>
      <c r="C398" s="4" t="s">
        <v>206</v>
      </c>
      <c r="D398" s="9">
        <v>45768</v>
      </c>
      <c r="E398" s="12">
        <v>150000</v>
      </c>
      <c r="F398" t="str" cm="1">
        <f t="array" ref="F398">_xlfn.IFS(G398&lt;5000000, "Bronze", G398&lt;10000000, "Silver", G398&lt;20000000, "Gold", G398&gt;=20000000, "Diamond")</f>
        <v>Diamond</v>
      </c>
      <c r="G398" s="11">
        <f>SUMIF(Data_Donasi[Nama_Donatur],Data_Donasi[[#This Row],[Nama_Donatur]],Data_Donasi[Nominal])</f>
        <v>47600000</v>
      </c>
    </row>
    <row r="399" spans="1:7" x14ac:dyDescent="0.3">
      <c r="A399" s="14" t="s">
        <v>66</v>
      </c>
      <c r="B399" s="4" t="s">
        <v>166</v>
      </c>
      <c r="C399" s="4" t="s">
        <v>266</v>
      </c>
      <c r="D399" s="9">
        <v>45768</v>
      </c>
      <c r="E399" s="12">
        <v>200000</v>
      </c>
      <c r="F399" t="str" cm="1">
        <f t="array" ref="F399">_xlfn.IFS(G399&lt;5000000, "Bronze", G399&lt;10000000, "Silver", G399&lt;20000000, "Gold", G399&gt;=20000000, "Diamond")</f>
        <v>Diamond</v>
      </c>
      <c r="G399" s="11">
        <f>SUMIF(Data_Donasi[Nama_Donatur],Data_Donasi[[#This Row],[Nama_Donatur]],Data_Donasi[Nominal])</f>
        <v>26350000</v>
      </c>
    </row>
    <row r="400" spans="1:7" x14ac:dyDescent="0.3">
      <c r="A400" s="14" t="s">
        <v>44</v>
      </c>
      <c r="B400" s="4" t="s">
        <v>144</v>
      </c>
      <c r="C400" s="4" t="s">
        <v>244</v>
      </c>
      <c r="D400" s="9">
        <v>45768</v>
      </c>
      <c r="E400" s="12">
        <v>2000000</v>
      </c>
      <c r="F400" t="str" cm="1">
        <f t="array" ref="F400">_xlfn.IFS(G400&lt;5000000, "Bronze", G400&lt;10000000, "Silver", G400&lt;20000000, "Gold", G400&gt;=20000000, "Diamond")</f>
        <v>Diamond</v>
      </c>
      <c r="G400" s="11">
        <f>SUMIF(Data_Donasi[Nama_Donatur],Data_Donasi[[#This Row],[Nama_Donatur]],Data_Donasi[Nominal])</f>
        <v>66400000</v>
      </c>
    </row>
    <row r="401" spans="1:7" x14ac:dyDescent="0.3">
      <c r="A401" s="14" t="s">
        <v>35</v>
      </c>
      <c r="B401" s="4" t="s">
        <v>135</v>
      </c>
      <c r="C401" s="4" t="s">
        <v>235</v>
      </c>
      <c r="D401" s="9">
        <v>45769</v>
      </c>
      <c r="E401" s="12">
        <v>20000000</v>
      </c>
      <c r="F401" t="str" cm="1">
        <f t="array" ref="F401">_xlfn.IFS(G401&lt;5000000, "Bronze", G401&lt;10000000, "Silver", G401&lt;20000000, "Gold", G401&gt;=20000000, "Diamond")</f>
        <v>Diamond</v>
      </c>
      <c r="G401" s="11">
        <f>SUMIF(Data_Donasi[Nama_Donatur],Data_Donasi[[#This Row],[Nama_Donatur]],Data_Donasi[Nominal])</f>
        <v>97200000</v>
      </c>
    </row>
    <row r="402" spans="1:7" x14ac:dyDescent="0.3">
      <c r="A402" s="14" t="s">
        <v>51</v>
      </c>
      <c r="B402" s="4" t="s">
        <v>151</v>
      </c>
      <c r="C402" s="4" t="s">
        <v>251</v>
      </c>
      <c r="D402" s="9">
        <v>45769</v>
      </c>
      <c r="E402" s="12">
        <v>250000</v>
      </c>
      <c r="F402" t="str" cm="1">
        <f t="array" ref="F402">_xlfn.IFS(G402&lt;5000000, "Bronze", G402&lt;10000000, "Silver", G402&lt;20000000, "Gold", G402&gt;=20000000, "Diamond")</f>
        <v>Diamond</v>
      </c>
      <c r="G402" s="11">
        <f>SUMIF(Data_Donasi[Nama_Donatur],Data_Donasi[[#This Row],[Nama_Donatur]],Data_Donasi[Nominal])</f>
        <v>46450000</v>
      </c>
    </row>
    <row r="403" spans="1:7" x14ac:dyDescent="0.3">
      <c r="A403" s="14" t="s">
        <v>56</v>
      </c>
      <c r="B403" s="4" t="s">
        <v>156</v>
      </c>
      <c r="C403" s="4" t="s">
        <v>256</v>
      </c>
      <c r="D403" s="9">
        <v>45769</v>
      </c>
      <c r="E403" s="12">
        <v>10000000</v>
      </c>
      <c r="F403" t="str" cm="1">
        <f t="array" ref="F403">_xlfn.IFS(G403&lt;5000000, "Bronze", G403&lt;10000000, "Silver", G403&lt;20000000, "Gold", G403&gt;=20000000, "Diamond")</f>
        <v>Diamond</v>
      </c>
      <c r="G403" s="11">
        <f>SUMIF(Data_Donasi[Nama_Donatur],Data_Donasi[[#This Row],[Nama_Donatur]],Data_Donasi[Nominal])</f>
        <v>49000000</v>
      </c>
    </row>
    <row r="404" spans="1:7" x14ac:dyDescent="0.3">
      <c r="A404" s="14" t="s">
        <v>95</v>
      </c>
      <c r="B404" s="4" t="s">
        <v>195</v>
      </c>
      <c r="C404" s="4" t="s">
        <v>295</v>
      </c>
      <c r="D404" s="9">
        <v>45770</v>
      </c>
      <c r="E404" s="12">
        <v>50000</v>
      </c>
      <c r="F404" t="str" cm="1">
        <f t="array" ref="F404">_xlfn.IFS(G404&lt;5000000, "Bronze", G404&lt;10000000, "Silver", G404&lt;20000000, "Gold", G404&gt;=20000000, "Diamond")</f>
        <v>Diamond</v>
      </c>
      <c r="G404" s="11">
        <f>SUMIF(Data_Donasi[Nama_Donatur],Data_Donasi[[#This Row],[Nama_Donatur]],Data_Donasi[Nominal])</f>
        <v>30000000</v>
      </c>
    </row>
    <row r="405" spans="1:7" x14ac:dyDescent="0.3">
      <c r="A405" s="14" t="s">
        <v>17</v>
      </c>
      <c r="B405" s="4" t="s">
        <v>117</v>
      </c>
      <c r="C405" s="4" t="s">
        <v>217</v>
      </c>
      <c r="D405" s="9">
        <v>45770</v>
      </c>
      <c r="E405" s="12">
        <v>150000</v>
      </c>
      <c r="F405" t="str" cm="1">
        <f t="array" ref="F405">_xlfn.IFS(G405&lt;5000000, "Bronze", G405&lt;10000000, "Silver", G405&lt;20000000, "Gold", G405&gt;=20000000, "Diamond")</f>
        <v>Diamond</v>
      </c>
      <c r="G405" s="11">
        <f>SUMIF(Data_Donasi[Nama_Donatur],Data_Donasi[[#This Row],[Nama_Donatur]],Data_Donasi[Nominal])</f>
        <v>86000000</v>
      </c>
    </row>
    <row r="406" spans="1:7" x14ac:dyDescent="0.3">
      <c r="A406" s="14" t="s">
        <v>24</v>
      </c>
      <c r="B406" s="4" t="s">
        <v>124</v>
      </c>
      <c r="C406" s="4" t="s">
        <v>224</v>
      </c>
      <c r="D406" s="9">
        <v>45770</v>
      </c>
      <c r="E406" s="12">
        <v>500000</v>
      </c>
      <c r="F406" t="str" cm="1">
        <f t="array" ref="F406">_xlfn.IFS(G406&lt;5000000, "Bronze", G406&lt;10000000, "Silver", G406&lt;20000000, "Gold", G406&gt;=20000000, "Diamond")</f>
        <v>Diamond</v>
      </c>
      <c r="G406" s="11">
        <f>SUMIF(Data_Donasi[Nama_Donatur],Data_Donasi[[#This Row],[Nama_Donatur]],Data_Donasi[Nominal])</f>
        <v>37700000</v>
      </c>
    </row>
    <row r="407" spans="1:7" x14ac:dyDescent="0.3">
      <c r="A407" s="14" t="s">
        <v>42</v>
      </c>
      <c r="B407" s="4" t="s">
        <v>142</v>
      </c>
      <c r="C407" s="4" t="s">
        <v>242</v>
      </c>
      <c r="D407" s="9">
        <v>45770</v>
      </c>
      <c r="E407" s="12">
        <v>150000</v>
      </c>
      <c r="F407" t="str" cm="1">
        <f t="array" ref="F407">_xlfn.IFS(G407&lt;5000000, "Bronze", G407&lt;10000000, "Silver", G407&lt;20000000, "Gold", G407&gt;=20000000, "Diamond")</f>
        <v>Diamond</v>
      </c>
      <c r="G407" s="11">
        <f>SUMIF(Data_Donasi[Nama_Donatur],Data_Donasi[[#This Row],[Nama_Donatur]],Data_Donasi[Nominal])</f>
        <v>42100000</v>
      </c>
    </row>
    <row r="408" spans="1:7" x14ac:dyDescent="0.3">
      <c r="A408" s="14" t="s">
        <v>8</v>
      </c>
      <c r="B408" s="4" t="s">
        <v>108</v>
      </c>
      <c r="C408" s="4" t="s">
        <v>208</v>
      </c>
      <c r="D408" s="9">
        <v>45771</v>
      </c>
      <c r="E408" s="12">
        <v>5000000</v>
      </c>
      <c r="F408" t="str" cm="1">
        <f t="array" ref="F408">_xlfn.IFS(G408&lt;5000000, "Bronze", G408&lt;10000000, "Silver", G408&lt;20000000, "Gold", G408&gt;=20000000, "Diamond")</f>
        <v>Diamond</v>
      </c>
      <c r="G408" s="11">
        <f>SUMIF(Data_Donasi[Nama_Donatur],Data_Donasi[[#This Row],[Nama_Donatur]],Data_Donasi[Nominal])</f>
        <v>31750000</v>
      </c>
    </row>
    <row r="409" spans="1:7" x14ac:dyDescent="0.3">
      <c r="A409" s="14" t="s">
        <v>97</v>
      </c>
      <c r="B409" s="4" t="s">
        <v>197</v>
      </c>
      <c r="C409" s="4" t="s">
        <v>297</v>
      </c>
      <c r="D409" s="9">
        <v>45771</v>
      </c>
      <c r="E409" s="12">
        <v>50000</v>
      </c>
      <c r="F409" t="str" cm="1">
        <f t="array" ref="F409">_xlfn.IFS(G409&lt;5000000, "Bronze", G409&lt;10000000, "Silver", G409&lt;20000000, "Gold", G409&gt;=20000000, "Diamond")</f>
        <v>Diamond</v>
      </c>
      <c r="G409" s="11">
        <f>SUMIF(Data_Donasi[Nama_Donatur],Data_Donasi[[#This Row],[Nama_Donatur]],Data_Donasi[Nominal])</f>
        <v>52700000</v>
      </c>
    </row>
    <row r="410" spans="1:7" x14ac:dyDescent="0.3">
      <c r="A410" s="14" t="s">
        <v>39</v>
      </c>
      <c r="B410" s="4" t="s">
        <v>139</v>
      </c>
      <c r="C410" s="4" t="s">
        <v>239</v>
      </c>
      <c r="D410" s="9">
        <v>45771</v>
      </c>
      <c r="E410" s="12">
        <v>150000</v>
      </c>
      <c r="F410" t="str" cm="1">
        <f t="array" ref="F410">_xlfn.IFS(G410&lt;5000000, "Bronze", G410&lt;10000000, "Silver", G410&lt;20000000, "Gold", G410&gt;=20000000, "Diamond")</f>
        <v>Diamond</v>
      </c>
      <c r="G410" s="11">
        <f>SUMIF(Data_Donasi[Nama_Donatur],Data_Donasi[[#This Row],[Nama_Donatur]],Data_Donasi[Nominal])</f>
        <v>50750000</v>
      </c>
    </row>
    <row r="411" spans="1:7" x14ac:dyDescent="0.3">
      <c r="A411" s="14" t="s">
        <v>67</v>
      </c>
      <c r="B411" s="4" t="s">
        <v>167</v>
      </c>
      <c r="C411" s="4" t="s">
        <v>267</v>
      </c>
      <c r="D411" s="9">
        <v>45772</v>
      </c>
      <c r="E411" s="12">
        <v>200000</v>
      </c>
      <c r="F411" t="str" cm="1">
        <f t="array" ref="F411">_xlfn.IFS(G411&lt;5000000, "Bronze", G411&lt;10000000, "Silver", G411&lt;20000000, "Gold", G411&gt;=20000000, "Diamond")</f>
        <v>Diamond</v>
      </c>
      <c r="G411" s="11">
        <f>SUMIF(Data_Donasi[Nama_Donatur],Data_Donasi[[#This Row],[Nama_Donatur]],Data_Donasi[Nominal])</f>
        <v>28450000</v>
      </c>
    </row>
    <row r="412" spans="1:7" x14ac:dyDescent="0.3">
      <c r="A412" s="14" t="s">
        <v>58</v>
      </c>
      <c r="B412" s="4" t="s">
        <v>158</v>
      </c>
      <c r="C412" s="4" t="s">
        <v>258</v>
      </c>
      <c r="D412" s="9">
        <v>45773</v>
      </c>
      <c r="E412" s="12">
        <v>1000000</v>
      </c>
      <c r="F412" t="str" cm="1">
        <f t="array" ref="F412">_xlfn.IFS(G412&lt;5000000, "Bronze", G412&lt;10000000, "Silver", G412&lt;20000000, "Gold", G412&gt;=20000000, "Diamond")</f>
        <v>Gold</v>
      </c>
      <c r="G412" s="11">
        <f>SUMIF(Data_Donasi[Nama_Donatur],Data_Donasi[[#This Row],[Nama_Donatur]],Data_Donasi[Nominal])</f>
        <v>12000000</v>
      </c>
    </row>
    <row r="413" spans="1:7" x14ac:dyDescent="0.3">
      <c r="A413" s="14" t="s">
        <v>24</v>
      </c>
      <c r="B413" s="4" t="s">
        <v>124</v>
      </c>
      <c r="C413" s="4" t="s">
        <v>224</v>
      </c>
      <c r="D413" s="9">
        <v>45773</v>
      </c>
      <c r="E413" s="12">
        <v>500000</v>
      </c>
      <c r="F413" t="str" cm="1">
        <f t="array" ref="F413">_xlfn.IFS(G413&lt;5000000, "Bronze", G413&lt;10000000, "Silver", G413&lt;20000000, "Gold", G413&gt;=20000000, "Diamond")</f>
        <v>Diamond</v>
      </c>
      <c r="G413" s="11">
        <f>SUMIF(Data_Donasi[Nama_Donatur],Data_Donasi[[#This Row],[Nama_Donatur]],Data_Donasi[Nominal])</f>
        <v>37700000</v>
      </c>
    </row>
    <row r="414" spans="1:7" x14ac:dyDescent="0.3">
      <c r="A414" s="14" t="s">
        <v>91</v>
      </c>
      <c r="B414" s="4" t="s">
        <v>191</v>
      </c>
      <c r="C414" s="4" t="s">
        <v>291</v>
      </c>
      <c r="D414" s="9">
        <v>45774</v>
      </c>
      <c r="E414" s="12">
        <v>100000</v>
      </c>
      <c r="F414" t="str" cm="1">
        <f t="array" ref="F414">_xlfn.IFS(G414&lt;5000000, "Bronze", G414&lt;10000000, "Silver", G414&lt;20000000, "Gold", G414&gt;=20000000, "Diamond")</f>
        <v>Diamond</v>
      </c>
      <c r="G414" s="11">
        <f>SUMIF(Data_Donasi[Nama_Donatur],Data_Donasi[[#This Row],[Nama_Donatur]],Data_Donasi[Nominal])</f>
        <v>40950000</v>
      </c>
    </row>
    <row r="415" spans="1:7" x14ac:dyDescent="0.3">
      <c r="A415" s="14" t="s">
        <v>95</v>
      </c>
      <c r="B415" s="4" t="s">
        <v>195</v>
      </c>
      <c r="C415" s="4" t="s">
        <v>295</v>
      </c>
      <c r="D415" s="9">
        <v>45774</v>
      </c>
      <c r="E415" s="12">
        <v>1000000</v>
      </c>
      <c r="F415" t="str" cm="1">
        <f t="array" ref="F415">_xlfn.IFS(G415&lt;5000000, "Bronze", G415&lt;10000000, "Silver", G415&lt;20000000, "Gold", G415&gt;=20000000, "Diamond")</f>
        <v>Diamond</v>
      </c>
      <c r="G415" s="11">
        <f>SUMIF(Data_Donasi[Nama_Donatur],Data_Donasi[[#This Row],[Nama_Donatur]],Data_Donasi[Nominal])</f>
        <v>30000000</v>
      </c>
    </row>
    <row r="416" spans="1:7" x14ac:dyDescent="0.3">
      <c r="A416" s="14" t="s">
        <v>46</v>
      </c>
      <c r="B416" s="4" t="s">
        <v>146</v>
      </c>
      <c r="C416" s="4" t="s">
        <v>246</v>
      </c>
      <c r="D416" s="9">
        <v>45775</v>
      </c>
      <c r="E416" s="12">
        <v>5000000</v>
      </c>
      <c r="F416" t="str" cm="1">
        <f t="array" ref="F416">_xlfn.IFS(G416&lt;5000000, "Bronze", G416&lt;10000000, "Silver", G416&lt;20000000, "Gold", G416&gt;=20000000, "Diamond")</f>
        <v>Diamond</v>
      </c>
      <c r="G416" s="11">
        <f>SUMIF(Data_Donasi[Nama_Donatur],Data_Donasi[[#This Row],[Nama_Donatur]],Data_Donasi[Nominal])</f>
        <v>48550000</v>
      </c>
    </row>
    <row r="417" spans="1:7" x14ac:dyDescent="0.3">
      <c r="A417" s="14" t="s">
        <v>14</v>
      </c>
      <c r="B417" s="4" t="s">
        <v>114</v>
      </c>
      <c r="C417" s="4" t="s">
        <v>214</v>
      </c>
      <c r="D417" s="9">
        <v>45775</v>
      </c>
      <c r="E417" s="12">
        <v>5000000</v>
      </c>
      <c r="F417" t="str" cm="1">
        <f t="array" ref="F417">_xlfn.IFS(G417&lt;5000000, "Bronze", G417&lt;10000000, "Silver", G417&lt;20000000, "Gold", G417&gt;=20000000, "Diamond")</f>
        <v>Diamond</v>
      </c>
      <c r="G417" s="11">
        <f>SUMIF(Data_Donasi[Nama_Donatur],Data_Donasi[[#This Row],[Nama_Donatur]],Data_Donasi[Nominal])</f>
        <v>73750000</v>
      </c>
    </row>
    <row r="418" spans="1:7" x14ac:dyDescent="0.3">
      <c r="A418" s="14" t="s">
        <v>43</v>
      </c>
      <c r="B418" s="4" t="s">
        <v>143</v>
      </c>
      <c r="C418" s="4" t="s">
        <v>243</v>
      </c>
      <c r="D418" s="9">
        <v>45776</v>
      </c>
      <c r="E418" s="12">
        <v>2000000</v>
      </c>
      <c r="F418" t="str" cm="1">
        <f t="array" ref="F418">_xlfn.IFS(G418&lt;5000000, "Bronze", G418&lt;10000000, "Silver", G418&lt;20000000, "Gold", G418&gt;=20000000, "Diamond")</f>
        <v>Diamond</v>
      </c>
      <c r="G418" s="11">
        <f>SUMIF(Data_Donasi[Nama_Donatur],Data_Donasi[[#This Row],[Nama_Donatur]],Data_Donasi[Nominal])</f>
        <v>32400000</v>
      </c>
    </row>
    <row r="419" spans="1:7" x14ac:dyDescent="0.3">
      <c r="A419" s="14" t="s">
        <v>22</v>
      </c>
      <c r="B419" s="4" t="s">
        <v>122</v>
      </c>
      <c r="C419" s="4" t="s">
        <v>222</v>
      </c>
      <c r="D419" s="9">
        <v>45776</v>
      </c>
      <c r="E419" s="12">
        <v>2000000</v>
      </c>
      <c r="F419" t="str" cm="1">
        <f t="array" ref="F419">_xlfn.IFS(G419&lt;5000000, "Bronze", G419&lt;10000000, "Silver", G419&lt;20000000, "Gold", G419&gt;=20000000, "Diamond")</f>
        <v>Diamond</v>
      </c>
      <c r="G419" s="11">
        <f>SUMIF(Data_Donasi[Nama_Donatur],Data_Donasi[[#This Row],[Nama_Donatur]],Data_Donasi[Nominal])</f>
        <v>67900000</v>
      </c>
    </row>
    <row r="420" spans="1:7" x14ac:dyDescent="0.3">
      <c r="A420" s="14" t="s">
        <v>58</v>
      </c>
      <c r="B420" s="4" t="s">
        <v>158</v>
      </c>
      <c r="C420" s="4" t="s">
        <v>258</v>
      </c>
      <c r="D420" s="9">
        <v>45776</v>
      </c>
      <c r="E420" s="12">
        <v>50000</v>
      </c>
      <c r="F420" t="str" cm="1">
        <f t="array" ref="F420">_xlfn.IFS(G420&lt;5000000, "Bronze", G420&lt;10000000, "Silver", G420&lt;20000000, "Gold", G420&gt;=20000000, "Diamond")</f>
        <v>Gold</v>
      </c>
      <c r="G420" s="11">
        <f>SUMIF(Data_Donasi[Nama_Donatur],Data_Donasi[[#This Row],[Nama_Donatur]],Data_Donasi[Nominal])</f>
        <v>12000000</v>
      </c>
    </row>
    <row r="421" spans="1:7" x14ac:dyDescent="0.3">
      <c r="A421" s="14" t="s">
        <v>26</v>
      </c>
      <c r="B421" s="4" t="s">
        <v>126</v>
      </c>
      <c r="C421" s="4" t="s">
        <v>226</v>
      </c>
      <c r="D421" s="9">
        <v>45777</v>
      </c>
      <c r="E421" s="12">
        <v>3000000</v>
      </c>
      <c r="F421" t="str" cm="1">
        <f t="array" ref="F421">_xlfn.IFS(G421&lt;5000000, "Bronze", G421&lt;10000000, "Silver", G421&lt;20000000, "Gold", G421&gt;=20000000, "Diamond")</f>
        <v>Diamond</v>
      </c>
      <c r="G421" s="11">
        <f>SUMIF(Data_Donasi[Nama_Donatur],Data_Donasi[[#This Row],[Nama_Donatur]],Data_Donasi[Nominal])</f>
        <v>46450000</v>
      </c>
    </row>
    <row r="422" spans="1:7" x14ac:dyDescent="0.3">
      <c r="A422" s="14" t="s">
        <v>62</v>
      </c>
      <c r="B422" s="4" t="s">
        <v>162</v>
      </c>
      <c r="C422" s="4" t="s">
        <v>262</v>
      </c>
      <c r="D422" s="9">
        <v>45777</v>
      </c>
      <c r="E422" s="12">
        <v>250000</v>
      </c>
      <c r="F422" t="str" cm="1">
        <f t="array" ref="F422">_xlfn.IFS(G422&lt;5000000, "Bronze", G422&lt;10000000, "Silver", G422&lt;20000000, "Gold", G422&gt;=20000000, "Diamond")</f>
        <v>Silver</v>
      </c>
      <c r="G422" s="11">
        <f>SUMIF(Data_Donasi[Nama_Donatur],Data_Donasi[[#This Row],[Nama_Donatur]],Data_Donasi[Nominal])</f>
        <v>7850000</v>
      </c>
    </row>
    <row r="423" spans="1:7" x14ac:dyDescent="0.3">
      <c r="A423" s="14" t="s">
        <v>94</v>
      </c>
      <c r="B423" s="4" t="s">
        <v>194</v>
      </c>
      <c r="C423" s="4" t="s">
        <v>294</v>
      </c>
      <c r="D423" s="9">
        <v>45777</v>
      </c>
      <c r="E423" s="12">
        <v>7000000</v>
      </c>
      <c r="F423" t="str" cm="1">
        <f t="array" ref="F423">_xlfn.IFS(G423&lt;5000000, "Bronze", G423&lt;10000000, "Silver", G423&lt;20000000, "Gold", G423&gt;=20000000, "Diamond")</f>
        <v>Diamond</v>
      </c>
      <c r="G423" s="11">
        <f>SUMIF(Data_Donasi[Nama_Donatur],Data_Donasi[[#This Row],[Nama_Donatur]],Data_Donasi[Nominal])</f>
        <v>26650000</v>
      </c>
    </row>
    <row r="424" spans="1:7" x14ac:dyDescent="0.3">
      <c r="A424" s="14" t="s">
        <v>56</v>
      </c>
      <c r="B424" s="4" t="s">
        <v>156</v>
      </c>
      <c r="C424" s="4" t="s">
        <v>256</v>
      </c>
      <c r="D424" s="9">
        <v>45777</v>
      </c>
      <c r="E424" s="12">
        <v>7000000</v>
      </c>
      <c r="F424" t="str" cm="1">
        <f t="array" ref="F424">_xlfn.IFS(G424&lt;5000000, "Bronze", G424&lt;10000000, "Silver", G424&lt;20000000, "Gold", G424&gt;=20000000, "Diamond")</f>
        <v>Diamond</v>
      </c>
      <c r="G424" s="11">
        <f>SUMIF(Data_Donasi[Nama_Donatur],Data_Donasi[[#This Row],[Nama_Donatur]],Data_Donasi[Nominal])</f>
        <v>49000000</v>
      </c>
    </row>
    <row r="425" spans="1:7" x14ac:dyDescent="0.3">
      <c r="A425" s="14" t="s">
        <v>69</v>
      </c>
      <c r="B425" s="4" t="s">
        <v>169</v>
      </c>
      <c r="C425" s="4" t="s">
        <v>269</v>
      </c>
      <c r="D425" s="9">
        <v>45777</v>
      </c>
      <c r="E425" s="12">
        <v>5000000</v>
      </c>
      <c r="F425" t="str" cm="1">
        <f t="array" ref="F425">_xlfn.IFS(G425&lt;5000000, "Bronze", G425&lt;10000000, "Silver", G425&lt;20000000, "Gold", G425&gt;=20000000, "Diamond")</f>
        <v>Diamond</v>
      </c>
      <c r="G425" s="11">
        <f>SUMIF(Data_Donasi[Nama_Donatur],Data_Donasi[[#This Row],[Nama_Donatur]],Data_Donasi[Nominal])</f>
        <v>53350000</v>
      </c>
    </row>
    <row r="426" spans="1:7" x14ac:dyDescent="0.3">
      <c r="A426" s="14" t="s">
        <v>60</v>
      </c>
      <c r="B426" s="4" t="s">
        <v>160</v>
      </c>
      <c r="C426" s="4" t="s">
        <v>260</v>
      </c>
      <c r="D426" s="9">
        <v>45777</v>
      </c>
      <c r="E426" s="12">
        <v>150000</v>
      </c>
      <c r="F426" t="str" cm="1">
        <f t="array" ref="F426">_xlfn.IFS(G426&lt;5000000, "Bronze", G426&lt;10000000, "Silver", G426&lt;20000000, "Gold", G426&gt;=20000000, "Diamond")</f>
        <v>Silver</v>
      </c>
      <c r="G426" s="11">
        <f>SUMIF(Data_Donasi[Nama_Donatur],Data_Donasi[[#This Row],[Nama_Donatur]],Data_Donasi[Nominal])</f>
        <v>9150000</v>
      </c>
    </row>
    <row r="427" spans="1:7" x14ac:dyDescent="0.3">
      <c r="A427" s="14" t="s">
        <v>36</v>
      </c>
      <c r="B427" s="4" t="s">
        <v>136</v>
      </c>
      <c r="C427" s="4" t="s">
        <v>236</v>
      </c>
      <c r="D427" s="9">
        <v>45777</v>
      </c>
      <c r="E427" s="12">
        <v>1000000</v>
      </c>
      <c r="F427" t="str" cm="1">
        <f t="array" ref="F427">_xlfn.IFS(G427&lt;5000000, "Bronze", G427&lt;10000000, "Silver", G427&lt;20000000, "Gold", G427&gt;=20000000, "Diamond")</f>
        <v>Diamond</v>
      </c>
      <c r="G427" s="11">
        <f>SUMIF(Data_Donasi[Nama_Donatur],Data_Donasi[[#This Row],[Nama_Donatur]],Data_Donasi[Nominal])</f>
        <v>25500000</v>
      </c>
    </row>
    <row r="428" spans="1:7" x14ac:dyDescent="0.3">
      <c r="A428" s="14" t="s">
        <v>72</v>
      </c>
      <c r="B428" s="4" t="s">
        <v>172</v>
      </c>
      <c r="C428" s="4" t="s">
        <v>272</v>
      </c>
      <c r="D428" s="9">
        <v>45778</v>
      </c>
      <c r="E428" s="12">
        <v>500000</v>
      </c>
      <c r="F428" t="str" cm="1">
        <f t="array" ref="F428">_xlfn.IFS(G428&lt;5000000, "Bronze", G428&lt;10000000, "Silver", G428&lt;20000000, "Gold", G428&gt;=20000000, "Diamond")</f>
        <v>Diamond</v>
      </c>
      <c r="G428" s="11">
        <f>SUMIF(Data_Donasi[Nama_Donatur],Data_Donasi[[#This Row],[Nama_Donatur]],Data_Donasi[Nominal])</f>
        <v>53250000</v>
      </c>
    </row>
    <row r="429" spans="1:7" x14ac:dyDescent="0.3">
      <c r="A429" s="14" t="s">
        <v>34</v>
      </c>
      <c r="B429" s="4" t="s">
        <v>134</v>
      </c>
      <c r="C429" s="4" t="s">
        <v>234</v>
      </c>
      <c r="D429" s="9">
        <v>45778</v>
      </c>
      <c r="E429" s="12">
        <v>200000</v>
      </c>
      <c r="F429" t="str" cm="1">
        <f t="array" ref="F429">_xlfn.IFS(G429&lt;5000000, "Bronze", G429&lt;10000000, "Silver", G429&lt;20000000, "Gold", G429&gt;=20000000, "Diamond")</f>
        <v>Gold</v>
      </c>
      <c r="G429" s="11">
        <f>SUMIF(Data_Donasi[Nama_Donatur],Data_Donasi[[#This Row],[Nama_Donatur]],Data_Donasi[Nominal])</f>
        <v>18400000</v>
      </c>
    </row>
    <row r="430" spans="1:7" x14ac:dyDescent="0.3">
      <c r="A430" s="14" t="s">
        <v>60</v>
      </c>
      <c r="B430" s="4" t="s">
        <v>160</v>
      </c>
      <c r="C430" s="4" t="s">
        <v>260</v>
      </c>
      <c r="D430" s="9">
        <v>45779</v>
      </c>
      <c r="E430" s="12">
        <v>200000</v>
      </c>
      <c r="F430" t="str" cm="1">
        <f t="array" ref="F430">_xlfn.IFS(G430&lt;5000000, "Bronze", G430&lt;10000000, "Silver", G430&lt;20000000, "Gold", G430&gt;=20000000, "Diamond")</f>
        <v>Silver</v>
      </c>
      <c r="G430" s="11">
        <f>SUMIF(Data_Donasi[Nama_Donatur],Data_Donasi[[#This Row],[Nama_Donatur]],Data_Donasi[Nominal])</f>
        <v>9150000</v>
      </c>
    </row>
    <row r="431" spans="1:7" x14ac:dyDescent="0.3">
      <c r="A431" s="14" t="s">
        <v>48</v>
      </c>
      <c r="B431" s="4" t="s">
        <v>148</v>
      </c>
      <c r="C431" s="4" t="s">
        <v>248</v>
      </c>
      <c r="D431" s="9">
        <v>45779</v>
      </c>
      <c r="E431" s="12">
        <v>50000</v>
      </c>
      <c r="F431" t="str" cm="1">
        <f t="array" ref="F431">_xlfn.IFS(G431&lt;5000000, "Bronze", G431&lt;10000000, "Silver", G431&lt;20000000, "Gold", G431&gt;=20000000, "Diamond")</f>
        <v>Diamond</v>
      </c>
      <c r="G431" s="11">
        <f>SUMIF(Data_Donasi[Nama_Donatur],Data_Donasi[[#This Row],[Nama_Donatur]],Data_Donasi[Nominal])</f>
        <v>41150000</v>
      </c>
    </row>
    <row r="432" spans="1:7" x14ac:dyDescent="0.3">
      <c r="A432" s="14" t="s">
        <v>89</v>
      </c>
      <c r="B432" s="4" t="s">
        <v>189</v>
      </c>
      <c r="C432" s="4" t="s">
        <v>289</v>
      </c>
      <c r="D432" s="9">
        <v>45779</v>
      </c>
      <c r="E432" s="12">
        <v>20000000</v>
      </c>
      <c r="F432" t="str" cm="1">
        <f t="array" ref="F432">_xlfn.IFS(G432&lt;5000000, "Bronze", G432&lt;10000000, "Silver", G432&lt;20000000, "Gold", G432&gt;=20000000, "Diamond")</f>
        <v>Diamond</v>
      </c>
      <c r="G432" s="11">
        <f>SUMIF(Data_Donasi[Nama_Donatur],Data_Donasi[[#This Row],[Nama_Donatur]],Data_Donasi[Nominal])</f>
        <v>28500000</v>
      </c>
    </row>
    <row r="433" spans="1:7" x14ac:dyDescent="0.3">
      <c r="A433" s="14" t="s">
        <v>48</v>
      </c>
      <c r="B433" s="4" t="s">
        <v>148</v>
      </c>
      <c r="C433" s="4" t="s">
        <v>248</v>
      </c>
      <c r="D433" s="9">
        <v>45779</v>
      </c>
      <c r="E433" s="12">
        <v>100000</v>
      </c>
      <c r="F433" t="str" cm="1">
        <f t="array" ref="F433">_xlfn.IFS(G433&lt;5000000, "Bronze", G433&lt;10000000, "Silver", G433&lt;20000000, "Gold", G433&gt;=20000000, "Diamond")</f>
        <v>Diamond</v>
      </c>
      <c r="G433" s="11">
        <f>SUMIF(Data_Donasi[Nama_Donatur],Data_Donasi[[#This Row],[Nama_Donatur]],Data_Donasi[Nominal])</f>
        <v>41150000</v>
      </c>
    </row>
    <row r="434" spans="1:7" x14ac:dyDescent="0.3">
      <c r="A434" s="14" t="s">
        <v>100</v>
      </c>
      <c r="B434" s="4" t="s">
        <v>200</v>
      </c>
      <c r="C434" s="4" t="s">
        <v>300</v>
      </c>
      <c r="D434" s="9">
        <v>45780</v>
      </c>
      <c r="E434" s="12">
        <v>150000</v>
      </c>
      <c r="F434" t="str" cm="1">
        <f t="array" ref="F434">_xlfn.IFS(G434&lt;5000000, "Bronze", G434&lt;10000000, "Silver", G434&lt;20000000, "Gold", G434&gt;=20000000, "Diamond")</f>
        <v>Diamond</v>
      </c>
      <c r="G434" s="11">
        <f>SUMIF(Data_Donasi[Nama_Donatur],Data_Donasi[[#This Row],[Nama_Donatur]],Data_Donasi[Nominal])</f>
        <v>40900000</v>
      </c>
    </row>
    <row r="435" spans="1:7" x14ac:dyDescent="0.3">
      <c r="A435" s="14" t="s">
        <v>81</v>
      </c>
      <c r="B435" s="4" t="s">
        <v>181</v>
      </c>
      <c r="C435" s="4" t="s">
        <v>281</v>
      </c>
      <c r="D435" s="9">
        <v>45780</v>
      </c>
      <c r="E435" s="12">
        <v>20000000</v>
      </c>
      <c r="F435" t="str" cm="1">
        <f t="array" ref="F435">_xlfn.IFS(G435&lt;5000000, "Bronze", G435&lt;10000000, "Silver", G435&lt;20000000, "Gold", G435&gt;=20000000, "Diamond")</f>
        <v>Diamond</v>
      </c>
      <c r="G435" s="11">
        <f>SUMIF(Data_Donasi[Nama_Donatur],Data_Donasi[[#This Row],[Nama_Donatur]],Data_Donasi[Nominal])</f>
        <v>86000000</v>
      </c>
    </row>
    <row r="436" spans="1:7" x14ac:dyDescent="0.3">
      <c r="A436" s="14" t="s">
        <v>81</v>
      </c>
      <c r="B436" s="4" t="s">
        <v>181</v>
      </c>
      <c r="C436" s="4" t="s">
        <v>281</v>
      </c>
      <c r="D436" s="9">
        <v>45780</v>
      </c>
      <c r="E436" s="12">
        <v>20000000</v>
      </c>
      <c r="F436" t="str" cm="1">
        <f t="array" ref="F436">_xlfn.IFS(G436&lt;5000000, "Bronze", G436&lt;10000000, "Silver", G436&lt;20000000, "Gold", G436&gt;=20000000, "Diamond")</f>
        <v>Diamond</v>
      </c>
      <c r="G436" s="11">
        <f>SUMIF(Data_Donasi[Nama_Donatur],Data_Donasi[[#This Row],[Nama_Donatur]],Data_Donasi[Nominal])</f>
        <v>86000000</v>
      </c>
    </row>
    <row r="437" spans="1:7" x14ac:dyDescent="0.3">
      <c r="A437" s="14" t="s">
        <v>99</v>
      </c>
      <c r="B437" s="4" t="s">
        <v>199</v>
      </c>
      <c r="C437" s="4" t="s">
        <v>299</v>
      </c>
      <c r="D437" s="9">
        <v>45780</v>
      </c>
      <c r="E437" s="12">
        <v>250000</v>
      </c>
      <c r="F437" t="str" cm="1">
        <f t="array" ref="F437">_xlfn.IFS(G437&lt;5000000, "Bronze", G437&lt;10000000, "Silver", G437&lt;20000000, "Gold", G437&gt;=20000000, "Diamond")</f>
        <v>Diamond</v>
      </c>
      <c r="G437" s="11">
        <f>SUMIF(Data_Donasi[Nama_Donatur],Data_Donasi[[#This Row],[Nama_Donatur]],Data_Donasi[Nominal])</f>
        <v>26300000</v>
      </c>
    </row>
    <row r="438" spans="1:7" x14ac:dyDescent="0.3">
      <c r="A438" s="14" t="s">
        <v>78</v>
      </c>
      <c r="B438" s="4" t="s">
        <v>178</v>
      </c>
      <c r="C438" s="4" t="s">
        <v>278</v>
      </c>
      <c r="D438" s="9">
        <v>45781</v>
      </c>
      <c r="E438" s="12">
        <v>3000000</v>
      </c>
      <c r="F438" t="str" cm="1">
        <f t="array" ref="F438">_xlfn.IFS(G438&lt;5000000, "Bronze", G438&lt;10000000, "Silver", G438&lt;20000000, "Gold", G438&gt;=20000000, "Diamond")</f>
        <v>Diamond</v>
      </c>
      <c r="G438" s="11">
        <f>SUMIF(Data_Donasi[Nama_Donatur],Data_Donasi[[#This Row],[Nama_Donatur]],Data_Donasi[Nominal])</f>
        <v>115650000</v>
      </c>
    </row>
    <row r="439" spans="1:7" x14ac:dyDescent="0.3">
      <c r="A439" s="14" t="s">
        <v>65</v>
      </c>
      <c r="B439" s="4" t="s">
        <v>165</v>
      </c>
      <c r="C439" s="4" t="s">
        <v>265</v>
      </c>
      <c r="D439" s="9">
        <v>45781</v>
      </c>
      <c r="E439" s="12">
        <v>7000000</v>
      </c>
      <c r="F439" t="str" cm="1">
        <f t="array" ref="F439">_xlfn.IFS(G439&lt;5000000, "Bronze", G439&lt;10000000, "Silver", G439&lt;20000000, "Gold", G439&gt;=20000000, "Diamond")</f>
        <v>Diamond</v>
      </c>
      <c r="G439" s="11">
        <f>SUMIF(Data_Donasi[Nama_Donatur],Data_Donasi[[#This Row],[Nama_Donatur]],Data_Donasi[Nominal])</f>
        <v>40750000</v>
      </c>
    </row>
    <row r="440" spans="1:7" x14ac:dyDescent="0.3">
      <c r="A440" s="14" t="s">
        <v>5</v>
      </c>
      <c r="B440" s="4" t="s">
        <v>105</v>
      </c>
      <c r="C440" s="4" t="s">
        <v>205</v>
      </c>
      <c r="D440" s="9">
        <v>45781</v>
      </c>
      <c r="E440" s="12">
        <v>10000000</v>
      </c>
      <c r="F440" t="str" cm="1">
        <f t="array" ref="F440">_xlfn.IFS(G440&lt;5000000, "Bronze", G440&lt;10000000, "Silver", G440&lt;20000000, "Gold", G440&gt;=20000000, "Diamond")</f>
        <v>Diamond</v>
      </c>
      <c r="G440" s="11">
        <f>SUMIF(Data_Donasi[Nama_Donatur],Data_Donasi[[#This Row],[Nama_Donatur]],Data_Donasi[Nominal])</f>
        <v>42050000</v>
      </c>
    </row>
    <row r="441" spans="1:7" x14ac:dyDescent="0.3">
      <c r="A441" s="14" t="s">
        <v>97</v>
      </c>
      <c r="B441" s="4" t="s">
        <v>197</v>
      </c>
      <c r="C441" s="4" t="s">
        <v>297</v>
      </c>
      <c r="D441" s="9">
        <v>45781</v>
      </c>
      <c r="E441" s="12">
        <v>5000000</v>
      </c>
      <c r="F441" t="str" cm="1">
        <f t="array" ref="F441">_xlfn.IFS(G441&lt;5000000, "Bronze", G441&lt;10000000, "Silver", G441&lt;20000000, "Gold", G441&gt;=20000000, "Diamond")</f>
        <v>Diamond</v>
      </c>
      <c r="G441" s="11">
        <f>SUMIF(Data_Donasi[Nama_Donatur],Data_Donasi[[#This Row],[Nama_Donatur]],Data_Donasi[Nominal])</f>
        <v>52700000</v>
      </c>
    </row>
    <row r="442" spans="1:7" x14ac:dyDescent="0.3">
      <c r="A442" s="14" t="s">
        <v>21</v>
      </c>
      <c r="B442" s="4" t="s">
        <v>121</v>
      </c>
      <c r="C442" s="4" t="s">
        <v>221</v>
      </c>
      <c r="D442" s="9">
        <v>45782</v>
      </c>
      <c r="E442" s="12">
        <v>7000000</v>
      </c>
      <c r="F442" t="str" cm="1">
        <f t="array" ref="F442">_xlfn.IFS(G442&lt;5000000, "Bronze", G442&lt;10000000, "Silver", G442&lt;20000000, "Gold", G442&gt;=20000000, "Diamond")</f>
        <v>Diamond</v>
      </c>
      <c r="G442" s="11">
        <f>SUMIF(Data_Donasi[Nama_Donatur],Data_Donasi[[#This Row],[Nama_Donatur]],Data_Donasi[Nominal])</f>
        <v>61950000</v>
      </c>
    </row>
    <row r="443" spans="1:7" x14ac:dyDescent="0.3">
      <c r="A443" s="14" t="s">
        <v>95</v>
      </c>
      <c r="B443" s="4" t="s">
        <v>195</v>
      </c>
      <c r="C443" s="4" t="s">
        <v>295</v>
      </c>
      <c r="D443" s="9">
        <v>45782</v>
      </c>
      <c r="E443" s="12">
        <v>2000000</v>
      </c>
      <c r="F443" t="str" cm="1">
        <f t="array" ref="F443">_xlfn.IFS(G443&lt;5000000, "Bronze", G443&lt;10000000, "Silver", G443&lt;20000000, "Gold", G443&gt;=20000000, "Diamond")</f>
        <v>Diamond</v>
      </c>
      <c r="G443" s="11">
        <f>SUMIF(Data_Donasi[Nama_Donatur],Data_Donasi[[#This Row],[Nama_Donatur]],Data_Donasi[Nominal])</f>
        <v>30000000</v>
      </c>
    </row>
    <row r="444" spans="1:7" x14ac:dyDescent="0.3">
      <c r="A444" s="14" t="s">
        <v>54</v>
      </c>
      <c r="B444" s="4" t="s">
        <v>154</v>
      </c>
      <c r="C444" s="4" t="s">
        <v>254</v>
      </c>
      <c r="D444" s="9">
        <v>45782</v>
      </c>
      <c r="E444" s="12">
        <v>200000</v>
      </c>
      <c r="F444" t="str" cm="1">
        <f t="array" ref="F444">_xlfn.IFS(G444&lt;5000000, "Bronze", G444&lt;10000000, "Silver", G444&lt;20000000, "Gold", G444&gt;=20000000, "Diamond")</f>
        <v>Silver</v>
      </c>
      <c r="G444" s="11">
        <f>SUMIF(Data_Donasi[Nama_Donatur],Data_Donasi[[#This Row],[Nama_Donatur]],Data_Donasi[Nominal])</f>
        <v>7500000</v>
      </c>
    </row>
    <row r="445" spans="1:7" x14ac:dyDescent="0.3">
      <c r="A445" s="14" t="s">
        <v>46</v>
      </c>
      <c r="B445" s="4" t="s">
        <v>146</v>
      </c>
      <c r="C445" s="4" t="s">
        <v>246</v>
      </c>
      <c r="D445" s="9">
        <v>45782</v>
      </c>
      <c r="E445" s="12">
        <v>7000000</v>
      </c>
      <c r="F445" t="str" cm="1">
        <f t="array" ref="F445">_xlfn.IFS(G445&lt;5000000, "Bronze", G445&lt;10000000, "Silver", G445&lt;20000000, "Gold", G445&gt;=20000000, "Diamond")</f>
        <v>Diamond</v>
      </c>
      <c r="G445" s="11">
        <f>SUMIF(Data_Donasi[Nama_Donatur],Data_Donasi[[#This Row],[Nama_Donatur]],Data_Donasi[Nominal])</f>
        <v>48550000</v>
      </c>
    </row>
    <row r="446" spans="1:7" x14ac:dyDescent="0.3">
      <c r="A446" s="14" t="s">
        <v>53</v>
      </c>
      <c r="B446" s="4" t="s">
        <v>153</v>
      </c>
      <c r="C446" s="4" t="s">
        <v>253</v>
      </c>
      <c r="D446" s="9">
        <v>45782</v>
      </c>
      <c r="E446" s="12">
        <v>150000</v>
      </c>
      <c r="F446" t="str" cm="1">
        <f t="array" ref="F446">_xlfn.IFS(G446&lt;5000000, "Bronze", G446&lt;10000000, "Silver", G446&lt;20000000, "Gold", G446&gt;=20000000, "Diamond")</f>
        <v>Gold</v>
      </c>
      <c r="G446" s="11">
        <f>SUMIF(Data_Donasi[Nama_Donatur],Data_Donasi[[#This Row],[Nama_Donatur]],Data_Donasi[Nominal])</f>
        <v>10350000</v>
      </c>
    </row>
    <row r="447" spans="1:7" x14ac:dyDescent="0.3">
      <c r="A447" s="14" t="s">
        <v>97</v>
      </c>
      <c r="B447" s="4" t="s">
        <v>197</v>
      </c>
      <c r="C447" s="4" t="s">
        <v>297</v>
      </c>
      <c r="D447" s="9">
        <v>45782</v>
      </c>
      <c r="E447" s="12">
        <v>250000</v>
      </c>
      <c r="F447" t="str" cm="1">
        <f t="array" ref="F447">_xlfn.IFS(G447&lt;5000000, "Bronze", G447&lt;10000000, "Silver", G447&lt;20000000, "Gold", G447&gt;=20000000, "Diamond")</f>
        <v>Diamond</v>
      </c>
      <c r="G447" s="11">
        <f>SUMIF(Data_Donasi[Nama_Donatur],Data_Donasi[[#This Row],[Nama_Donatur]],Data_Donasi[Nominal])</f>
        <v>52700000</v>
      </c>
    </row>
    <row r="448" spans="1:7" x14ac:dyDescent="0.3">
      <c r="A448" s="14" t="s">
        <v>12</v>
      </c>
      <c r="B448" s="4" t="s">
        <v>112</v>
      </c>
      <c r="C448" s="4" t="s">
        <v>212</v>
      </c>
      <c r="D448" s="9">
        <v>45782</v>
      </c>
      <c r="E448" s="12">
        <v>200000</v>
      </c>
      <c r="F448" t="str" cm="1">
        <f t="array" ref="F448">_xlfn.IFS(G448&lt;5000000, "Bronze", G448&lt;10000000, "Silver", G448&lt;20000000, "Gold", G448&gt;=20000000, "Diamond")</f>
        <v>Silver</v>
      </c>
      <c r="G448" s="11">
        <f>SUMIF(Data_Donasi[Nama_Donatur],Data_Donasi[[#This Row],[Nama_Donatur]],Data_Donasi[Nominal])</f>
        <v>8900000</v>
      </c>
    </row>
    <row r="449" spans="1:7" x14ac:dyDescent="0.3">
      <c r="A449" s="14" t="s">
        <v>91</v>
      </c>
      <c r="B449" s="4" t="s">
        <v>191</v>
      </c>
      <c r="C449" s="4" t="s">
        <v>291</v>
      </c>
      <c r="D449" s="9">
        <v>45783</v>
      </c>
      <c r="E449" s="12">
        <v>250000</v>
      </c>
      <c r="F449" t="str" cm="1">
        <f t="array" ref="F449">_xlfn.IFS(G449&lt;5000000, "Bronze", G449&lt;10000000, "Silver", G449&lt;20000000, "Gold", G449&gt;=20000000, "Diamond")</f>
        <v>Diamond</v>
      </c>
      <c r="G449" s="11">
        <f>SUMIF(Data_Donasi[Nama_Donatur],Data_Donasi[[#This Row],[Nama_Donatur]],Data_Donasi[Nominal])</f>
        <v>40950000</v>
      </c>
    </row>
    <row r="450" spans="1:7" x14ac:dyDescent="0.3">
      <c r="A450" s="14" t="s">
        <v>47</v>
      </c>
      <c r="B450" s="4" t="s">
        <v>147</v>
      </c>
      <c r="C450" s="4" t="s">
        <v>247</v>
      </c>
      <c r="D450" s="9">
        <v>45783</v>
      </c>
      <c r="E450" s="12">
        <v>2000000</v>
      </c>
      <c r="F450" t="str" cm="1">
        <f t="array" ref="F450">_xlfn.IFS(G450&lt;5000000, "Bronze", G450&lt;10000000, "Silver", G450&lt;20000000, "Gold", G450&gt;=20000000, "Diamond")</f>
        <v>Diamond</v>
      </c>
      <c r="G450" s="11">
        <f>SUMIF(Data_Donasi[Nama_Donatur],Data_Donasi[[#This Row],[Nama_Donatur]],Data_Donasi[Nominal])</f>
        <v>45000000</v>
      </c>
    </row>
    <row r="451" spans="1:7" x14ac:dyDescent="0.3">
      <c r="A451" s="14" t="s">
        <v>21</v>
      </c>
      <c r="B451" s="4" t="s">
        <v>121</v>
      </c>
      <c r="C451" s="4" t="s">
        <v>221</v>
      </c>
      <c r="D451" s="9">
        <v>45783</v>
      </c>
      <c r="E451" s="12">
        <v>200000</v>
      </c>
      <c r="F451" t="str" cm="1">
        <f t="array" ref="F451">_xlfn.IFS(G451&lt;5000000, "Bronze", G451&lt;10000000, "Silver", G451&lt;20000000, "Gold", G451&gt;=20000000, "Diamond")</f>
        <v>Diamond</v>
      </c>
      <c r="G451" s="11">
        <f>SUMIF(Data_Donasi[Nama_Donatur],Data_Donasi[[#This Row],[Nama_Donatur]],Data_Donasi[Nominal])</f>
        <v>61950000</v>
      </c>
    </row>
    <row r="452" spans="1:7" x14ac:dyDescent="0.3">
      <c r="A452" s="14" t="s">
        <v>33</v>
      </c>
      <c r="B452" s="4" t="s">
        <v>133</v>
      </c>
      <c r="C452" s="4" t="s">
        <v>233</v>
      </c>
      <c r="D452" s="9">
        <v>45783</v>
      </c>
      <c r="E452" s="12">
        <v>200000</v>
      </c>
      <c r="F452" t="str" cm="1">
        <f t="array" ref="F452">_xlfn.IFS(G452&lt;5000000, "Bronze", G452&lt;10000000, "Silver", G452&lt;20000000, "Gold", G452&gt;=20000000, "Diamond")</f>
        <v>Diamond</v>
      </c>
      <c r="G452" s="11">
        <f>SUMIF(Data_Donasi[Nama_Donatur],Data_Donasi[[#This Row],[Nama_Donatur]],Data_Donasi[Nominal])</f>
        <v>56850000</v>
      </c>
    </row>
    <row r="453" spans="1:7" x14ac:dyDescent="0.3">
      <c r="A453" s="14" t="s">
        <v>14</v>
      </c>
      <c r="B453" s="4" t="s">
        <v>114</v>
      </c>
      <c r="C453" s="4" t="s">
        <v>214</v>
      </c>
      <c r="D453" s="9">
        <v>45783</v>
      </c>
      <c r="E453" s="12">
        <v>5000000</v>
      </c>
      <c r="F453" t="str" cm="1">
        <f t="array" ref="F453">_xlfn.IFS(G453&lt;5000000, "Bronze", G453&lt;10000000, "Silver", G453&lt;20000000, "Gold", G453&gt;=20000000, "Diamond")</f>
        <v>Diamond</v>
      </c>
      <c r="G453" s="11">
        <f>SUMIF(Data_Donasi[Nama_Donatur],Data_Donasi[[#This Row],[Nama_Donatur]],Data_Donasi[Nominal])</f>
        <v>73750000</v>
      </c>
    </row>
    <row r="454" spans="1:7" x14ac:dyDescent="0.3">
      <c r="A454" s="14" t="s">
        <v>22</v>
      </c>
      <c r="B454" s="4" t="s">
        <v>122</v>
      </c>
      <c r="C454" s="4" t="s">
        <v>222</v>
      </c>
      <c r="D454" s="9">
        <v>45784</v>
      </c>
      <c r="E454" s="12">
        <v>100000</v>
      </c>
      <c r="F454" t="str" cm="1">
        <f t="array" ref="F454">_xlfn.IFS(G454&lt;5000000, "Bronze", G454&lt;10000000, "Silver", G454&lt;20000000, "Gold", G454&gt;=20000000, "Diamond")</f>
        <v>Diamond</v>
      </c>
      <c r="G454" s="11">
        <f>SUMIF(Data_Donasi[Nama_Donatur],Data_Donasi[[#This Row],[Nama_Donatur]],Data_Donasi[Nominal])</f>
        <v>67900000</v>
      </c>
    </row>
    <row r="455" spans="1:7" x14ac:dyDescent="0.3">
      <c r="A455" s="14" t="s">
        <v>43</v>
      </c>
      <c r="B455" s="4" t="s">
        <v>143</v>
      </c>
      <c r="C455" s="4" t="s">
        <v>243</v>
      </c>
      <c r="D455" s="9">
        <v>45784</v>
      </c>
      <c r="E455" s="12">
        <v>20000000</v>
      </c>
      <c r="F455" t="str" cm="1">
        <f t="array" ref="F455">_xlfn.IFS(G455&lt;5000000, "Bronze", G455&lt;10000000, "Silver", G455&lt;20000000, "Gold", G455&gt;=20000000, "Diamond")</f>
        <v>Diamond</v>
      </c>
      <c r="G455" s="11">
        <f>SUMIF(Data_Donasi[Nama_Donatur],Data_Donasi[[#This Row],[Nama_Donatur]],Data_Donasi[Nominal])</f>
        <v>32400000</v>
      </c>
    </row>
    <row r="456" spans="1:7" x14ac:dyDescent="0.3">
      <c r="A456" s="14" t="s">
        <v>49</v>
      </c>
      <c r="B456" s="4" t="s">
        <v>149</v>
      </c>
      <c r="C456" s="4" t="s">
        <v>249</v>
      </c>
      <c r="D456" s="9">
        <v>45784</v>
      </c>
      <c r="E456" s="12">
        <v>250000</v>
      </c>
      <c r="F456" t="str" cm="1">
        <f t="array" ref="F456">_xlfn.IFS(G456&lt;5000000, "Bronze", G456&lt;10000000, "Silver", G456&lt;20000000, "Gold", G456&gt;=20000000, "Diamond")</f>
        <v>Bronze</v>
      </c>
      <c r="G456" s="11">
        <f>SUMIF(Data_Donasi[Nama_Donatur],Data_Donasi[[#This Row],[Nama_Donatur]],Data_Donasi[Nominal])</f>
        <v>3050000</v>
      </c>
    </row>
    <row r="457" spans="1:7" x14ac:dyDescent="0.3">
      <c r="A457" s="14" t="s">
        <v>76</v>
      </c>
      <c r="B457" s="4" t="s">
        <v>176</v>
      </c>
      <c r="C457" s="4" t="s">
        <v>276</v>
      </c>
      <c r="D457" s="9">
        <v>45784</v>
      </c>
      <c r="E457" s="12">
        <v>5000000</v>
      </c>
      <c r="F457" t="str" cm="1">
        <f t="array" ref="F457">_xlfn.IFS(G457&lt;5000000, "Bronze", G457&lt;10000000, "Silver", G457&lt;20000000, "Gold", G457&gt;=20000000, "Diamond")</f>
        <v>Diamond</v>
      </c>
      <c r="G457" s="11">
        <f>SUMIF(Data_Donasi[Nama_Donatur],Data_Donasi[[#This Row],[Nama_Donatur]],Data_Donasi[Nominal])</f>
        <v>37400000</v>
      </c>
    </row>
    <row r="458" spans="1:7" x14ac:dyDescent="0.3">
      <c r="A458" s="14" t="s">
        <v>29</v>
      </c>
      <c r="B458" s="4" t="s">
        <v>129</v>
      </c>
      <c r="C458" s="4" t="s">
        <v>229</v>
      </c>
      <c r="D458" s="9">
        <v>45785</v>
      </c>
      <c r="E458" s="12">
        <v>2000000</v>
      </c>
      <c r="F458" t="str" cm="1">
        <f t="array" ref="F458">_xlfn.IFS(G458&lt;5000000, "Bronze", G458&lt;10000000, "Silver", G458&lt;20000000, "Gold", G458&gt;=20000000, "Diamond")</f>
        <v>Diamond</v>
      </c>
      <c r="G458" s="11">
        <f>SUMIF(Data_Donasi[Nama_Donatur],Data_Donasi[[#This Row],[Nama_Donatur]],Data_Donasi[Nominal])</f>
        <v>30400000</v>
      </c>
    </row>
    <row r="459" spans="1:7" x14ac:dyDescent="0.3">
      <c r="A459" s="14" t="s">
        <v>93</v>
      </c>
      <c r="B459" s="4" t="s">
        <v>193</v>
      </c>
      <c r="C459" s="4" t="s">
        <v>293</v>
      </c>
      <c r="D459" s="9">
        <v>45786</v>
      </c>
      <c r="E459" s="12">
        <v>2000000</v>
      </c>
      <c r="F459" t="str" cm="1">
        <f t="array" ref="F459">_xlfn.IFS(G459&lt;5000000, "Bronze", G459&lt;10000000, "Silver", G459&lt;20000000, "Gold", G459&gt;=20000000, "Diamond")</f>
        <v>Gold</v>
      </c>
      <c r="G459" s="11">
        <f>SUMIF(Data_Donasi[Nama_Donatur],Data_Donasi[[#This Row],[Nama_Donatur]],Data_Donasi[Nominal])</f>
        <v>19400000</v>
      </c>
    </row>
    <row r="460" spans="1:7" x14ac:dyDescent="0.3">
      <c r="A460" s="14" t="s">
        <v>91</v>
      </c>
      <c r="B460" s="4" t="s">
        <v>191</v>
      </c>
      <c r="C460" s="4" t="s">
        <v>291</v>
      </c>
      <c r="D460" s="9">
        <v>45786</v>
      </c>
      <c r="E460" s="12">
        <v>20000000</v>
      </c>
      <c r="F460" t="str" cm="1">
        <f t="array" ref="F460">_xlfn.IFS(G460&lt;5000000, "Bronze", G460&lt;10000000, "Silver", G460&lt;20000000, "Gold", G460&gt;=20000000, "Diamond")</f>
        <v>Diamond</v>
      </c>
      <c r="G460" s="11">
        <f>SUMIF(Data_Donasi[Nama_Donatur],Data_Donasi[[#This Row],[Nama_Donatur]],Data_Donasi[Nominal])</f>
        <v>40950000</v>
      </c>
    </row>
    <row r="461" spans="1:7" x14ac:dyDescent="0.3">
      <c r="A461" s="14" t="s">
        <v>74</v>
      </c>
      <c r="B461" s="4" t="s">
        <v>174</v>
      </c>
      <c r="C461" s="4" t="s">
        <v>274</v>
      </c>
      <c r="D461" s="9">
        <v>45786</v>
      </c>
      <c r="E461" s="12">
        <v>7000000</v>
      </c>
      <c r="F461" t="str" cm="1">
        <f t="array" ref="F461">_xlfn.IFS(G461&lt;5000000, "Bronze", G461&lt;10000000, "Silver", G461&lt;20000000, "Gold", G461&gt;=20000000, "Diamond")</f>
        <v>Diamond</v>
      </c>
      <c r="G461" s="11">
        <f>SUMIF(Data_Donasi[Nama_Donatur],Data_Donasi[[#This Row],[Nama_Donatur]],Data_Donasi[Nominal])</f>
        <v>57450000</v>
      </c>
    </row>
    <row r="462" spans="1:7" x14ac:dyDescent="0.3">
      <c r="A462" s="14" t="s">
        <v>17</v>
      </c>
      <c r="B462" s="4" t="s">
        <v>117</v>
      </c>
      <c r="C462" s="4" t="s">
        <v>217</v>
      </c>
      <c r="D462" s="9">
        <v>45787</v>
      </c>
      <c r="E462" s="12">
        <v>500000</v>
      </c>
      <c r="F462" t="str" cm="1">
        <f t="array" ref="F462">_xlfn.IFS(G462&lt;5000000, "Bronze", G462&lt;10000000, "Silver", G462&lt;20000000, "Gold", G462&gt;=20000000, "Diamond")</f>
        <v>Diamond</v>
      </c>
      <c r="G462" s="11">
        <f>SUMIF(Data_Donasi[Nama_Donatur],Data_Donasi[[#This Row],[Nama_Donatur]],Data_Donasi[Nominal])</f>
        <v>86000000</v>
      </c>
    </row>
    <row r="463" spans="1:7" x14ac:dyDescent="0.3">
      <c r="A463" s="14" t="s">
        <v>78</v>
      </c>
      <c r="B463" s="4" t="s">
        <v>178</v>
      </c>
      <c r="C463" s="4" t="s">
        <v>278</v>
      </c>
      <c r="D463" s="9">
        <v>45787</v>
      </c>
      <c r="E463" s="12">
        <v>3000000</v>
      </c>
      <c r="F463" t="str" cm="1">
        <f t="array" ref="F463">_xlfn.IFS(G463&lt;5000000, "Bronze", G463&lt;10000000, "Silver", G463&lt;20000000, "Gold", G463&gt;=20000000, "Diamond")</f>
        <v>Diamond</v>
      </c>
      <c r="G463" s="11">
        <f>SUMIF(Data_Donasi[Nama_Donatur],Data_Donasi[[#This Row],[Nama_Donatur]],Data_Donasi[Nominal])</f>
        <v>115650000</v>
      </c>
    </row>
    <row r="464" spans="1:7" x14ac:dyDescent="0.3">
      <c r="A464" s="14" t="s">
        <v>38</v>
      </c>
      <c r="B464" s="4" t="s">
        <v>138</v>
      </c>
      <c r="C464" s="4" t="s">
        <v>238</v>
      </c>
      <c r="D464" s="9">
        <v>45787</v>
      </c>
      <c r="E464" s="12">
        <v>20000000</v>
      </c>
      <c r="F464" t="str" cm="1">
        <f t="array" ref="F464">_xlfn.IFS(G464&lt;5000000, "Bronze", G464&lt;10000000, "Silver", G464&lt;20000000, "Gold", G464&gt;=20000000, "Diamond")</f>
        <v>Diamond</v>
      </c>
      <c r="G464" s="11">
        <f>SUMIF(Data_Donasi[Nama_Donatur],Data_Donasi[[#This Row],[Nama_Donatur]],Data_Donasi[Nominal])</f>
        <v>35400000</v>
      </c>
    </row>
    <row r="465" spans="1:7" x14ac:dyDescent="0.3">
      <c r="A465" s="14" t="s">
        <v>92</v>
      </c>
      <c r="B465" s="4" t="s">
        <v>192</v>
      </c>
      <c r="C465" s="4" t="s">
        <v>292</v>
      </c>
      <c r="D465" s="9">
        <v>45787</v>
      </c>
      <c r="E465" s="12">
        <v>10000000</v>
      </c>
      <c r="F465" t="str" cm="1">
        <f t="array" ref="F465">_xlfn.IFS(G465&lt;5000000, "Bronze", G465&lt;10000000, "Silver", G465&lt;20000000, "Gold", G465&gt;=20000000, "Diamond")</f>
        <v>Diamond</v>
      </c>
      <c r="G465" s="11">
        <f>SUMIF(Data_Donasi[Nama_Donatur],Data_Donasi[[#This Row],[Nama_Donatur]],Data_Donasi[Nominal])</f>
        <v>55700000</v>
      </c>
    </row>
    <row r="466" spans="1:7" x14ac:dyDescent="0.3">
      <c r="A466" s="14" t="s">
        <v>35</v>
      </c>
      <c r="B466" s="4" t="s">
        <v>135</v>
      </c>
      <c r="C466" s="4" t="s">
        <v>235</v>
      </c>
      <c r="D466" s="9">
        <v>45788</v>
      </c>
      <c r="E466" s="12">
        <v>20000000</v>
      </c>
      <c r="F466" t="str" cm="1">
        <f t="array" ref="F466">_xlfn.IFS(G466&lt;5000000, "Bronze", G466&lt;10000000, "Silver", G466&lt;20000000, "Gold", G466&gt;=20000000, "Diamond")</f>
        <v>Diamond</v>
      </c>
      <c r="G466" s="11">
        <f>SUMIF(Data_Donasi[Nama_Donatur],Data_Donasi[[#This Row],[Nama_Donatur]],Data_Donasi[Nominal])</f>
        <v>97200000</v>
      </c>
    </row>
    <row r="467" spans="1:7" x14ac:dyDescent="0.3">
      <c r="A467" s="14" t="s">
        <v>33</v>
      </c>
      <c r="B467" s="4" t="s">
        <v>133</v>
      </c>
      <c r="C467" s="4" t="s">
        <v>233</v>
      </c>
      <c r="D467" s="9">
        <v>45788</v>
      </c>
      <c r="E467" s="12">
        <v>500000</v>
      </c>
      <c r="F467" t="str" cm="1">
        <f t="array" ref="F467">_xlfn.IFS(G467&lt;5000000, "Bronze", G467&lt;10000000, "Silver", G467&lt;20000000, "Gold", G467&gt;=20000000, "Diamond")</f>
        <v>Diamond</v>
      </c>
      <c r="G467" s="11">
        <f>SUMIF(Data_Donasi[Nama_Donatur],Data_Donasi[[#This Row],[Nama_Donatur]],Data_Donasi[Nominal])</f>
        <v>56850000</v>
      </c>
    </row>
    <row r="468" spans="1:7" x14ac:dyDescent="0.3">
      <c r="A468" s="14" t="s">
        <v>39</v>
      </c>
      <c r="B468" s="4" t="s">
        <v>139</v>
      </c>
      <c r="C468" s="4" t="s">
        <v>239</v>
      </c>
      <c r="D468" s="9">
        <v>45788</v>
      </c>
      <c r="E468" s="12">
        <v>100000</v>
      </c>
      <c r="F468" t="str" cm="1">
        <f t="array" ref="F468">_xlfn.IFS(G468&lt;5000000, "Bronze", G468&lt;10000000, "Silver", G468&lt;20000000, "Gold", G468&gt;=20000000, "Diamond")</f>
        <v>Diamond</v>
      </c>
      <c r="G468" s="11">
        <f>SUMIF(Data_Donasi[Nama_Donatur],Data_Donasi[[#This Row],[Nama_Donatur]],Data_Donasi[Nominal])</f>
        <v>50750000</v>
      </c>
    </row>
    <row r="469" spans="1:7" x14ac:dyDescent="0.3">
      <c r="A469" s="14" t="s">
        <v>6</v>
      </c>
      <c r="B469" s="4" t="s">
        <v>106</v>
      </c>
      <c r="C469" s="4" t="s">
        <v>206</v>
      </c>
      <c r="D469" s="9">
        <v>45788</v>
      </c>
      <c r="E469" s="12">
        <v>7000000</v>
      </c>
      <c r="F469" t="str" cm="1">
        <f t="array" ref="F469">_xlfn.IFS(G469&lt;5000000, "Bronze", G469&lt;10000000, "Silver", G469&lt;20000000, "Gold", G469&gt;=20000000, "Diamond")</f>
        <v>Diamond</v>
      </c>
      <c r="G469" s="11">
        <f>SUMIF(Data_Donasi[Nama_Donatur],Data_Donasi[[#This Row],[Nama_Donatur]],Data_Donasi[Nominal])</f>
        <v>47600000</v>
      </c>
    </row>
    <row r="470" spans="1:7" x14ac:dyDescent="0.3">
      <c r="A470" s="14" t="s">
        <v>16</v>
      </c>
      <c r="B470" s="4" t="s">
        <v>116</v>
      </c>
      <c r="C470" s="4" t="s">
        <v>216</v>
      </c>
      <c r="D470" s="9">
        <v>45788</v>
      </c>
      <c r="E470" s="12">
        <v>5000000</v>
      </c>
      <c r="F470" t="str" cm="1">
        <f t="array" ref="F470">_xlfn.IFS(G470&lt;5000000, "Bronze", G470&lt;10000000, "Silver", G470&lt;20000000, "Gold", G470&gt;=20000000, "Diamond")</f>
        <v>Diamond</v>
      </c>
      <c r="G470" s="11">
        <f>SUMIF(Data_Donasi[Nama_Donatur],Data_Donasi[[#This Row],[Nama_Donatur]],Data_Donasi[Nominal])</f>
        <v>48350000</v>
      </c>
    </row>
    <row r="471" spans="1:7" x14ac:dyDescent="0.3">
      <c r="A471" s="14" t="s">
        <v>60</v>
      </c>
      <c r="B471" s="4" t="s">
        <v>160</v>
      </c>
      <c r="C471" s="4" t="s">
        <v>260</v>
      </c>
      <c r="D471" s="9">
        <v>45789</v>
      </c>
      <c r="E471" s="12">
        <v>5000000</v>
      </c>
      <c r="F471" t="str" cm="1">
        <f t="array" ref="F471">_xlfn.IFS(G471&lt;5000000, "Bronze", G471&lt;10000000, "Silver", G471&lt;20000000, "Gold", G471&gt;=20000000, "Diamond")</f>
        <v>Silver</v>
      </c>
      <c r="G471" s="11">
        <f>SUMIF(Data_Donasi[Nama_Donatur],Data_Donasi[[#This Row],[Nama_Donatur]],Data_Donasi[Nominal])</f>
        <v>9150000</v>
      </c>
    </row>
    <row r="472" spans="1:7" x14ac:dyDescent="0.3">
      <c r="A472" s="14" t="s">
        <v>85</v>
      </c>
      <c r="B472" s="4" t="s">
        <v>185</v>
      </c>
      <c r="C472" s="4" t="s">
        <v>285</v>
      </c>
      <c r="D472" s="9">
        <v>45789</v>
      </c>
      <c r="E472" s="12">
        <v>3000000</v>
      </c>
      <c r="F472" t="str" cm="1">
        <f t="array" ref="F472">_xlfn.IFS(G472&lt;5000000, "Bronze", G472&lt;10000000, "Silver", G472&lt;20000000, "Gold", G472&gt;=20000000, "Diamond")</f>
        <v>Gold</v>
      </c>
      <c r="G472" s="11">
        <f>SUMIF(Data_Donasi[Nama_Donatur],Data_Donasi[[#This Row],[Nama_Donatur]],Data_Donasi[Nominal])</f>
        <v>18900000</v>
      </c>
    </row>
    <row r="473" spans="1:7" x14ac:dyDescent="0.3">
      <c r="A473" s="14" t="s">
        <v>87</v>
      </c>
      <c r="B473" s="4" t="s">
        <v>187</v>
      </c>
      <c r="C473" s="4" t="s">
        <v>287</v>
      </c>
      <c r="D473" s="9">
        <v>45789</v>
      </c>
      <c r="E473" s="12">
        <v>150000</v>
      </c>
      <c r="F473" t="str" cm="1">
        <f t="array" ref="F473">_xlfn.IFS(G473&lt;5000000, "Bronze", G473&lt;10000000, "Silver", G473&lt;20000000, "Gold", G473&gt;=20000000, "Diamond")</f>
        <v>Diamond</v>
      </c>
      <c r="G473" s="11">
        <f>SUMIF(Data_Donasi[Nama_Donatur],Data_Donasi[[#This Row],[Nama_Donatur]],Data_Donasi[Nominal])</f>
        <v>26100000</v>
      </c>
    </row>
    <row r="474" spans="1:7" x14ac:dyDescent="0.3">
      <c r="A474" s="14" t="s">
        <v>9</v>
      </c>
      <c r="B474" s="4" t="s">
        <v>109</v>
      </c>
      <c r="C474" s="4" t="s">
        <v>209</v>
      </c>
      <c r="D474" s="9">
        <v>45789</v>
      </c>
      <c r="E474" s="12">
        <v>150000</v>
      </c>
      <c r="F474" t="str" cm="1">
        <f t="array" ref="F474">_xlfn.IFS(G474&lt;5000000, "Bronze", G474&lt;10000000, "Silver", G474&lt;20000000, "Gold", G474&gt;=20000000, "Diamond")</f>
        <v>Diamond</v>
      </c>
      <c r="G474" s="11">
        <f>SUMIF(Data_Donasi[Nama_Donatur],Data_Donasi[[#This Row],[Nama_Donatur]],Data_Donasi[Nominal])</f>
        <v>24900000</v>
      </c>
    </row>
    <row r="475" spans="1:7" x14ac:dyDescent="0.3">
      <c r="A475" s="14" t="s">
        <v>75</v>
      </c>
      <c r="B475" s="4" t="s">
        <v>175</v>
      </c>
      <c r="C475" s="4" t="s">
        <v>275</v>
      </c>
      <c r="D475" s="9">
        <v>45789</v>
      </c>
      <c r="E475" s="12">
        <v>2000000</v>
      </c>
      <c r="F475" t="str" cm="1">
        <f t="array" ref="F475">_xlfn.IFS(G475&lt;5000000, "Bronze", G475&lt;10000000, "Silver", G475&lt;20000000, "Gold", G475&gt;=20000000, "Diamond")</f>
        <v>Diamond</v>
      </c>
      <c r="G475" s="11">
        <f>SUMIF(Data_Donasi[Nama_Donatur],Data_Donasi[[#This Row],[Nama_Donatur]],Data_Donasi[Nominal])</f>
        <v>44400000</v>
      </c>
    </row>
    <row r="476" spans="1:7" x14ac:dyDescent="0.3">
      <c r="A476" s="14" t="s">
        <v>13</v>
      </c>
      <c r="B476" s="4" t="s">
        <v>113</v>
      </c>
      <c r="C476" s="4" t="s">
        <v>213</v>
      </c>
      <c r="D476" s="9">
        <v>45789</v>
      </c>
      <c r="E476" s="12">
        <v>200000</v>
      </c>
      <c r="F476" t="str" cm="1">
        <f t="array" ref="F476">_xlfn.IFS(G476&lt;5000000, "Bronze", G476&lt;10000000, "Silver", G476&lt;20000000, "Gold", G476&gt;=20000000, "Diamond")</f>
        <v>Diamond</v>
      </c>
      <c r="G476" s="11">
        <f>SUMIF(Data_Donasi[Nama_Donatur],Data_Donasi[[#This Row],[Nama_Donatur]],Data_Donasi[Nominal])</f>
        <v>46550000</v>
      </c>
    </row>
    <row r="477" spans="1:7" x14ac:dyDescent="0.3">
      <c r="A477" s="14" t="s">
        <v>95</v>
      </c>
      <c r="B477" s="4" t="s">
        <v>195</v>
      </c>
      <c r="C477" s="4" t="s">
        <v>295</v>
      </c>
      <c r="D477" s="9">
        <v>45789</v>
      </c>
      <c r="E477" s="12">
        <v>3000000</v>
      </c>
      <c r="F477" t="str" cm="1">
        <f t="array" ref="F477">_xlfn.IFS(G477&lt;5000000, "Bronze", G477&lt;10000000, "Silver", G477&lt;20000000, "Gold", G477&gt;=20000000, "Diamond")</f>
        <v>Diamond</v>
      </c>
      <c r="G477" s="11">
        <f>SUMIF(Data_Donasi[Nama_Donatur],Data_Donasi[[#This Row],[Nama_Donatur]],Data_Donasi[Nominal])</f>
        <v>30000000</v>
      </c>
    </row>
    <row r="478" spans="1:7" x14ac:dyDescent="0.3">
      <c r="A478" s="14" t="s">
        <v>42</v>
      </c>
      <c r="B478" s="4" t="s">
        <v>142</v>
      </c>
      <c r="C478" s="4" t="s">
        <v>242</v>
      </c>
      <c r="D478" s="9">
        <v>45789</v>
      </c>
      <c r="E478" s="12">
        <v>500000</v>
      </c>
      <c r="F478" t="str" cm="1">
        <f t="array" ref="F478">_xlfn.IFS(G478&lt;5000000, "Bronze", G478&lt;10000000, "Silver", G478&lt;20000000, "Gold", G478&gt;=20000000, "Diamond")</f>
        <v>Diamond</v>
      </c>
      <c r="G478" s="11">
        <f>SUMIF(Data_Donasi[Nama_Donatur],Data_Donasi[[#This Row],[Nama_Donatur]],Data_Donasi[Nominal])</f>
        <v>42100000</v>
      </c>
    </row>
    <row r="479" spans="1:7" x14ac:dyDescent="0.3">
      <c r="A479" s="14" t="s">
        <v>88</v>
      </c>
      <c r="B479" s="4" t="s">
        <v>188</v>
      </c>
      <c r="C479" s="4" t="s">
        <v>288</v>
      </c>
      <c r="D479" s="9">
        <v>45790</v>
      </c>
      <c r="E479" s="12">
        <v>20000000</v>
      </c>
      <c r="F479" t="str" cm="1">
        <f t="array" ref="F479">_xlfn.IFS(G479&lt;5000000, "Bronze", G479&lt;10000000, "Silver", G479&lt;20000000, "Gold", G479&gt;=20000000, "Diamond")</f>
        <v>Diamond</v>
      </c>
      <c r="G479" s="11">
        <f>SUMIF(Data_Donasi[Nama_Donatur],Data_Donasi[[#This Row],[Nama_Donatur]],Data_Donasi[Nominal])</f>
        <v>51750000</v>
      </c>
    </row>
    <row r="480" spans="1:7" x14ac:dyDescent="0.3">
      <c r="A480" s="14" t="s">
        <v>94</v>
      </c>
      <c r="B480" s="4" t="s">
        <v>194</v>
      </c>
      <c r="C480" s="4" t="s">
        <v>294</v>
      </c>
      <c r="D480" s="9">
        <v>45790</v>
      </c>
      <c r="E480" s="12">
        <v>100000</v>
      </c>
      <c r="F480" t="str" cm="1">
        <f t="array" ref="F480">_xlfn.IFS(G480&lt;5000000, "Bronze", G480&lt;10000000, "Silver", G480&lt;20000000, "Gold", G480&gt;=20000000, "Diamond")</f>
        <v>Diamond</v>
      </c>
      <c r="G480" s="11">
        <f>SUMIF(Data_Donasi[Nama_Donatur],Data_Donasi[[#This Row],[Nama_Donatur]],Data_Donasi[Nominal])</f>
        <v>26650000</v>
      </c>
    </row>
    <row r="481" spans="1:7" x14ac:dyDescent="0.3">
      <c r="A481" s="14" t="s">
        <v>20</v>
      </c>
      <c r="B481" s="4" t="s">
        <v>120</v>
      </c>
      <c r="C481" s="4" t="s">
        <v>220</v>
      </c>
      <c r="D481" s="9">
        <v>45790</v>
      </c>
      <c r="E481" s="12">
        <v>5000000</v>
      </c>
      <c r="F481" t="str" cm="1">
        <f t="array" ref="F481">_xlfn.IFS(G481&lt;5000000, "Bronze", G481&lt;10000000, "Silver", G481&lt;20000000, "Gold", G481&gt;=20000000, "Diamond")</f>
        <v>Diamond</v>
      </c>
      <c r="G481" s="11">
        <f>SUMIF(Data_Donasi[Nama_Donatur],Data_Donasi[[#This Row],[Nama_Donatur]],Data_Donasi[Nominal])</f>
        <v>25800000</v>
      </c>
    </row>
    <row r="482" spans="1:7" x14ac:dyDescent="0.3">
      <c r="A482" s="14" t="s">
        <v>98</v>
      </c>
      <c r="B482" s="4" t="s">
        <v>198</v>
      </c>
      <c r="C482" s="4" t="s">
        <v>298</v>
      </c>
      <c r="D482" s="9">
        <v>45791</v>
      </c>
      <c r="E482" s="12">
        <v>3000000</v>
      </c>
      <c r="F482" t="str" cm="1">
        <f t="array" ref="F482">_xlfn.IFS(G482&lt;5000000, "Bronze", G482&lt;10000000, "Silver", G482&lt;20000000, "Gold", G482&gt;=20000000, "Diamond")</f>
        <v>Diamond</v>
      </c>
      <c r="G482" s="11">
        <f>SUMIF(Data_Donasi[Nama_Donatur],Data_Donasi[[#This Row],[Nama_Donatur]],Data_Donasi[Nominal])</f>
        <v>36400000</v>
      </c>
    </row>
    <row r="483" spans="1:7" x14ac:dyDescent="0.3">
      <c r="A483" s="14" t="s">
        <v>23</v>
      </c>
      <c r="B483" s="4" t="s">
        <v>123</v>
      </c>
      <c r="C483" s="4" t="s">
        <v>223</v>
      </c>
      <c r="D483" s="9">
        <v>45791</v>
      </c>
      <c r="E483" s="12">
        <v>500000</v>
      </c>
      <c r="F483" t="str" cm="1">
        <f t="array" ref="F483">_xlfn.IFS(G483&lt;5000000, "Bronze", G483&lt;10000000, "Silver", G483&lt;20000000, "Gold", G483&gt;=20000000, "Diamond")</f>
        <v>Diamond</v>
      </c>
      <c r="G483" s="11">
        <f>SUMIF(Data_Donasi[Nama_Donatur],Data_Donasi[[#This Row],[Nama_Donatur]],Data_Donasi[Nominal])</f>
        <v>55250000</v>
      </c>
    </row>
    <row r="484" spans="1:7" x14ac:dyDescent="0.3">
      <c r="A484" s="14" t="s">
        <v>42</v>
      </c>
      <c r="B484" s="4" t="s">
        <v>142</v>
      </c>
      <c r="C484" s="4" t="s">
        <v>242</v>
      </c>
      <c r="D484" s="9">
        <v>45792</v>
      </c>
      <c r="E484" s="12">
        <v>20000000</v>
      </c>
      <c r="F484" t="str" cm="1">
        <f t="array" ref="F484">_xlfn.IFS(G484&lt;5000000, "Bronze", G484&lt;10000000, "Silver", G484&lt;20000000, "Gold", G484&gt;=20000000, "Diamond")</f>
        <v>Diamond</v>
      </c>
      <c r="G484" s="11">
        <f>SUMIF(Data_Donasi[Nama_Donatur],Data_Donasi[[#This Row],[Nama_Donatur]],Data_Donasi[Nominal])</f>
        <v>42100000</v>
      </c>
    </row>
    <row r="485" spans="1:7" x14ac:dyDescent="0.3">
      <c r="A485" s="14" t="s">
        <v>23</v>
      </c>
      <c r="B485" s="4" t="s">
        <v>123</v>
      </c>
      <c r="C485" s="4" t="s">
        <v>223</v>
      </c>
      <c r="D485" s="9">
        <v>45792</v>
      </c>
      <c r="E485" s="12">
        <v>200000</v>
      </c>
      <c r="F485" t="str" cm="1">
        <f t="array" ref="F485">_xlfn.IFS(G485&lt;5000000, "Bronze", G485&lt;10000000, "Silver", G485&lt;20000000, "Gold", G485&gt;=20000000, "Diamond")</f>
        <v>Diamond</v>
      </c>
      <c r="G485" s="11">
        <f>SUMIF(Data_Donasi[Nama_Donatur],Data_Donasi[[#This Row],[Nama_Donatur]],Data_Donasi[Nominal])</f>
        <v>55250000</v>
      </c>
    </row>
    <row r="486" spans="1:7" x14ac:dyDescent="0.3">
      <c r="A486" s="14" t="s">
        <v>91</v>
      </c>
      <c r="B486" s="4" t="s">
        <v>191</v>
      </c>
      <c r="C486" s="4" t="s">
        <v>291</v>
      </c>
      <c r="D486" s="9">
        <v>45792</v>
      </c>
      <c r="E486" s="12">
        <v>200000</v>
      </c>
      <c r="F486" t="str" cm="1">
        <f t="array" ref="F486">_xlfn.IFS(G486&lt;5000000, "Bronze", G486&lt;10000000, "Silver", G486&lt;20000000, "Gold", G486&gt;=20000000, "Diamond")</f>
        <v>Diamond</v>
      </c>
      <c r="G486" s="11">
        <f>SUMIF(Data_Donasi[Nama_Donatur],Data_Donasi[[#This Row],[Nama_Donatur]],Data_Donasi[Nominal])</f>
        <v>40950000</v>
      </c>
    </row>
    <row r="487" spans="1:7" x14ac:dyDescent="0.3">
      <c r="A487" s="14" t="s">
        <v>90</v>
      </c>
      <c r="B487" s="4" t="s">
        <v>190</v>
      </c>
      <c r="C487" s="4" t="s">
        <v>290</v>
      </c>
      <c r="D487" s="9">
        <v>45792</v>
      </c>
      <c r="E487" s="12">
        <v>3000000</v>
      </c>
      <c r="F487" t="str" cm="1">
        <f t="array" ref="F487">_xlfn.IFS(G487&lt;5000000, "Bronze", G487&lt;10000000, "Silver", G487&lt;20000000, "Gold", G487&gt;=20000000, "Diamond")</f>
        <v>Diamond</v>
      </c>
      <c r="G487" s="11">
        <f>SUMIF(Data_Donasi[Nama_Donatur],Data_Donasi[[#This Row],[Nama_Donatur]],Data_Donasi[Nominal])</f>
        <v>52300000</v>
      </c>
    </row>
    <row r="488" spans="1:7" x14ac:dyDescent="0.3">
      <c r="A488" s="14" t="s">
        <v>31</v>
      </c>
      <c r="B488" s="4" t="s">
        <v>131</v>
      </c>
      <c r="C488" s="4" t="s">
        <v>231</v>
      </c>
      <c r="D488" s="9">
        <v>45793</v>
      </c>
      <c r="E488" s="12">
        <v>100000</v>
      </c>
      <c r="F488" t="str" cm="1">
        <f t="array" ref="F488">_xlfn.IFS(G488&lt;5000000, "Bronze", G488&lt;10000000, "Silver", G488&lt;20000000, "Gold", G488&gt;=20000000, "Diamond")</f>
        <v>Diamond</v>
      </c>
      <c r="G488" s="11">
        <f>SUMIF(Data_Donasi[Nama_Donatur],Data_Donasi[[#This Row],[Nama_Donatur]],Data_Donasi[Nominal])</f>
        <v>73400000</v>
      </c>
    </row>
    <row r="489" spans="1:7" x14ac:dyDescent="0.3">
      <c r="A489" s="14" t="s">
        <v>74</v>
      </c>
      <c r="B489" s="4" t="s">
        <v>174</v>
      </c>
      <c r="C489" s="4" t="s">
        <v>274</v>
      </c>
      <c r="D489" s="9">
        <v>45793</v>
      </c>
      <c r="E489" s="12">
        <v>250000</v>
      </c>
      <c r="F489" t="str" cm="1">
        <f t="array" ref="F489">_xlfn.IFS(G489&lt;5000000, "Bronze", G489&lt;10000000, "Silver", G489&lt;20000000, "Gold", G489&gt;=20000000, "Diamond")</f>
        <v>Diamond</v>
      </c>
      <c r="G489" s="11">
        <f>SUMIF(Data_Donasi[Nama_Donatur],Data_Donasi[[#This Row],[Nama_Donatur]],Data_Donasi[Nominal])</f>
        <v>57450000</v>
      </c>
    </row>
    <row r="490" spans="1:7" x14ac:dyDescent="0.3">
      <c r="A490" s="14" t="s">
        <v>56</v>
      </c>
      <c r="B490" s="4" t="s">
        <v>156</v>
      </c>
      <c r="C490" s="4" t="s">
        <v>256</v>
      </c>
      <c r="D490" s="9">
        <v>45793</v>
      </c>
      <c r="E490" s="12">
        <v>2000000</v>
      </c>
      <c r="F490" t="str" cm="1">
        <f t="array" ref="F490">_xlfn.IFS(G490&lt;5000000, "Bronze", G490&lt;10000000, "Silver", G490&lt;20000000, "Gold", G490&gt;=20000000, "Diamond")</f>
        <v>Diamond</v>
      </c>
      <c r="G490" s="11">
        <f>SUMIF(Data_Donasi[Nama_Donatur],Data_Donasi[[#This Row],[Nama_Donatur]],Data_Donasi[Nominal])</f>
        <v>49000000</v>
      </c>
    </row>
    <row r="491" spans="1:7" x14ac:dyDescent="0.3">
      <c r="A491" s="14" t="s">
        <v>91</v>
      </c>
      <c r="B491" s="4" t="s">
        <v>191</v>
      </c>
      <c r="C491" s="4" t="s">
        <v>291</v>
      </c>
      <c r="D491" s="9">
        <v>45794</v>
      </c>
      <c r="E491" s="12">
        <v>50000</v>
      </c>
      <c r="F491" t="str" cm="1">
        <f t="array" ref="F491">_xlfn.IFS(G491&lt;5000000, "Bronze", G491&lt;10000000, "Silver", G491&lt;20000000, "Gold", G491&gt;=20000000, "Diamond")</f>
        <v>Diamond</v>
      </c>
      <c r="G491" s="11">
        <f>SUMIF(Data_Donasi[Nama_Donatur],Data_Donasi[[#This Row],[Nama_Donatur]],Data_Donasi[Nominal])</f>
        <v>40950000</v>
      </c>
    </row>
    <row r="492" spans="1:7" x14ac:dyDescent="0.3">
      <c r="A492" s="14" t="s">
        <v>81</v>
      </c>
      <c r="B492" s="4" t="s">
        <v>181</v>
      </c>
      <c r="C492" s="4" t="s">
        <v>281</v>
      </c>
      <c r="D492" s="9">
        <v>45794</v>
      </c>
      <c r="E492" s="12">
        <v>7000000</v>
      </c>
      <c r="F492" t="str" cm="1">
        <f t="array" ref="F492">_xlfn.IFS(G492&lt;5000000, "Bronze", G492&lt;10000000, "Silver", G492&lt;20000000, "Gold", G492&gt;=20000000, "Diamond")</f>
        <v>Diamond</v>
      </c>
      <c r="G492" s="11">
        <f>SUMIF(Data_Donasi[Nama_Donatur],Data_Donasi[[#This Row],[Nama_Donatur]],Data_Donasi[Nominal])</f>
        <v>86000000</v>
      </c>
    </row>
    <row r="493" spans="1:7" x14ac:dyDescent="0.3">
      <c r="A493" s="14" t="s">
        <v>66</v>
      </c>
      <c r="B493" s="4" t="s">
        <v>166</v>
      </c>
      <c r="C493" s="4" t="s">
        <v>266</v>
      </c>
      <c r="D493" s="9">
        <v>45794</v>
      </c>
      <c r="E493" s="12">
        <v>20000000</v>
      </c>
      <c r="F493" t="str" cm="1">
        <f t="array" ref="F493">_xlfn.IFS(G493&lt;5000000, "Bronze", G493&lt;10000000, "Silver", G493&lt;20000000, "Gold", G493&gt;=20000000, "Diamond")</f>
        <v>Diamond</v>
      </c>
      <c r="G493" s="11">
        <f>SUMIF(Data_Donasi[Nama_Donatur],Data_Donasi[[#This Row],[Nama_Donatur]],Data_Donasi[Nominal])</f>
        <v>26350000</v>
      </c>
    </row>
    <row r="494" spans="1:7" x14ac:dyDescent="0.3">
      <c r="A494" s="14" t="s">
        <v>40</v>
      </c>
      <c r="B494" s="4" t="s">
        <v>140</v>
      </c>
      <c r="C494" s="4" t="s">
        <v>240</v>
      </c>
      <c r="D494" s="9">
        <v>45795</v>
      </c>
      <c r="E494" s="12">
        <v>200000</v>
      </c>
      <c r="F494" t="str" cm="1">
        <f t="array" ref="F494">_xlfn.IFS(G494&lt;5000000, "Bronze", G494&lt;10000000, "Silver", G494&lt;20000000, "Gold", G494&gt;=20000000, "Diamond")</f>
        <v>Diamond</v>
      </c>
      <c r="G494" s="11">
        <f>SUMIF(Data_Donasi[Nama_Donatur],Data_Donasi[[#This Row],[Nama_Donatur]],Data_Donasi[Nominal])</f>
        <v>45950000</v>
      </c>
    </row>
    <row r="495" spans="1:7" x14ac:dyDescent="0.3">
      <c r="A495" s="14" t="s">
        <v>10</v>
      </c>
      <c r="B495" s="4" t="s">
        <v>110</v>
      </c>
      <c r="C495" s="4" t="s">
        <v>210</v>
      </c>
      <c r="D495" s="9">
        <v>45795</v>
      </c>
      <c r="E495" s="12">
        <v>200000</v>
      </c>
      <c r="F495" t="str" cm="1">
        <f t="array" ref="F495">_xlfn.IFS(G495&lt;5000000, "Bronze", G495&lt;10000000, "Silver", G495&lt;20000000, "Gold", G495&gt;=20000000, "Diamond")</f>
        <v>Diamond</v>
      </c>
      <c r="G495" s="11">
        <f>SUMIF(Data_Donasi[Nama_Donatur],Data_Donasi[[#This Row],[Nama_Donatur]],Data_Donasi[Nominal])</f>
        <v>36200000</v>
      </c>
    </row>
    <row r="496" spans="1:7" x14ac:dyDescent="0.3">
      <c r="A496" s="14" t="s">
        <v>21</v>
      </c>
      <c r="B496" s="4" t="s">
        <v>121</v>
      </c>
      <c r="C496" s="4" t="s">
        <v>221</v>
      </c>
      <c r="D496" s="9">
        <v>45795</v>
      </c>
      <c r="E496" s="12">
        <v>250000</v>
      </c>
      <c r="F496" t="str" cm="1">
        <f t="array" ref="F496">_xlfn.IFS(G496&lt;5000000, "Bronze", G496&lt;10000000, "Silver", G496&lt;20000000, "Gold", G496&gt;=20000000, "Diamond")</f>
        <v>Diamond</v>
      </c>
      <c r="G496" s="11">
        <f>SUMIF(Data_Donasi[Nama_Donatur],Data_Donasi[[#This Row],[Nama_Donatur]],Data_Donasi[Nominal])</f>
        <v>61950000</v>
      </c>
    </row>
    <row r="497" spans="1:7" x14ac:dyDescent="0.3">
      <c r="A497" s="14" t="s">
        <v>20</v>
      </c>
      <c r="B497" s="4" t="s">
        <v>120</v>
      </c>
      <c r="C497" s="4" t="s">
        <v>220</v>
      </c>
      <c r="D497" s="9">
        <v>45795</v>
      </c>
      <c r="E497" s="12">
        <v>5000000</v>
      </c>
      <c r="F497" t="str" cm="1">
        <f t="array" ref="F497">_xlfn.IFS(G497&lt;5000000, "Bronze", G497&lt;10000000, "Silver", G497&lt;20000000, "Gold", G497&gt;=20000000, "Diamond")</f>
        <v>Diamond</v>
      </c>
      <c r="G497" s="11">
        <f>SUMIF(Data_Donasi[Nama_Donatur],Data_Donasi[[#This Row],[Nama_Donatur]],Data_Donasi[Nominal])</f>
        <v>25800000</v>
      </c>
    </row>
    <row r="498" spans="1:7" x14ac:dyDescent="0.3">
      <c r="A498" s="14" t="s">
        <v>104</v>
      </c>
      <c r="B498" s="4" t="s">
        <v>204</v>
      </c>
      <c r="C498" s="4" t="s">
        <v>304</v>
      </c>
      <c r="D498" s="9">
        <v>45795</v>
      </c>
      <c r="E498" s="12">
        <v>10000000</v>
      </c>
      <c r="F498" t="str" cm="1">
        <f t="array" ref="F498">_xlfn.IFS(G498&lt;5000000, "Bronze", G498&lt;10000000, "Silver", G498&lt;20000000, "Gold", G498&gt;=20000000, "Diamond")</f>
        <v>Diamond</v>
      </c>
      <c r="G498" s="11">
        <f>SUMIF(Data_Donasi[Nama_Donatur],Data_Donasi[[#This Row],[Nama_Donatur]],Data_Donasi[Nominal])</f>
        <v>22000000</v>
      </c>
    </row>
    <row r="499" spans="1:7" x14ac:dyDescent="0.3">
      <c r="A499" s="14" t="s">
        <v>18</v>
      </c>
      <c r="B499" s="4" t="s">
        <v>118</v>
      </c>
      <c r="C499" s="4" t="s">
        <v>218</v>
      </c>
      <c r="D499" s="9">
        <v>45795</v>
      </c>
      <c r="E499" s="12">
        <v>1000000</v>
      </c>
      <c r="F499" t="str" cm="1">
        <f t="array" ref="F499">_xlfn.IFS(G499&lt;5000000, "Bronze", G499&lt;10000000, "Silver", G499&lt;20000000, "Gold", G499&gt;=20000000, "Diamond")</f>
        <v>Diamond</v>
      </c>
      <c r="G499" s="11">
        <f>SUMIF(Data_Donasi[Nama_Donatur],Data_Donasi[[#This Row],[Nama_Donatur]],Data_Donasi[Nominal])</f>
        <v>30000000</v>
      </c>
    </row>
    <row r="500" spans="1:7" x14ac:dyDescent="0.3">
      <c r="A500" s="14" t="s">
        <v>61</v>
      </c>
      <c r="B500" s="4" t="s">
        <v>161</v>
      </c>
      <c r="C500" s="4" t="s">
        <v>261</v>
      </c>
      <c r="D500" s="9">
        <v>45795</v>
      </c>
      <c r="E500" s="12">
        <v>7000000</v>
      </c>
      <c r="F500" t="str" cm="1">
        <f t="array" ref="F500">_xlfn.IFS(G500&lt;5000000, "Bronze", G500&lt;10000000, "Silver", G500&lt;20000000, "Gold", G500&gt;=20000000, "Diamond")</f>
        <v>Diamond</v>
      </c>
      <c r="G500" s="11">
        <f>SUMIF(Data_Donasi[Nama_Donatur],Data_Donasi[[#This Row],[Nama_Donatur]],Data_Donasi[Nominal])</f>
        <v>30650000</v>
      </c>
    </row>
    <row r="501" spans="1:7" x14ac:dyDescent="0.3">
      <c r="A501" s="14" t="s">
        <v>87</v>
      </c>
      <c r="B501" s="4" t="s">
        <v>187</v>
      </c>
      <c r="C501" s="4" t="s">
        <v>287</v>
      </c>
      <c r="D501" s="9">
        <v>45795</v>
      </c>
      <c r="E501" s="12">
        <v>200000</v>
      </c>
      <c r="F501" t="str" cm="1">
        <f t="array" ref="F501">_xlfn.IFS(G501&lt;5000000, "Bronze", G501&lt;10000000, "Silver", G501&lt;20000000, "Gold", G501&gt;=20000000, "Diamond")</f>
        <v>Diamond</v>
      </c>
      <c r="G501" s="11">
        <f>SUMIF(Data_Donasi[Nama_Donatur],Data_Donasi[[#This Row],[Nama_Donatur]],Data_Donasi[Nominal])</f>
        <v>26100000</v>
      </c>
    </row>
    <row r="502" spans="1:7" x14ac:dyDescent="0.3">
      <c r="A502" s="14" t="s">
        <v>85</v>
      </c>
      <c r="B502" s="4" t="s">
        <v>185</v>
      </c>
      <c r="C502" s="4" t="s">
        <v>285</v>
      </c>
      <c r="D502" s="9">
        <v>45796</v>
      </c>
      <c r="E502" s="12">
        <v>2000000</v>
      </c>
      <c r="F502" t="str" cm="1">
        <f t="array" ref="F502">_xlfn.IFS(G502&lt;5000000, "Bronze", G502&lt;10000000, "Silver", G502&lt;20000000, "Gold", G502&gt;=20000000, "Diamond")</f>
        <v>Gold</v>
      </c>
      <c r="G502" s="11">
        <f>SUMIF(Data_Donasi[Nama_Donatur],Data_Donasi[[#This Row],[Nama_Donatur]],Data_Donasi[Nominal])</f>
        <v>18900000</v>
      </c>
    </row>
    <row r="503" spans="1:7" x14ac:dyDescent="0.3">
      <c r="A503" s="14" t="s">
        <v>95</v>
      </c>
      <c r="B503" s="4" t="s">
        <v>195</v>
      </c>
      <c r="C503" s="4" t="s">
        <v>295</v>
      </c>
      <c r="D503" s="9">
        <v>45796</v>
      </c>
      <c r="E503" s="12">
        <v>250000</v>
      </c>
      <c r="F503" t="str" cm="1">
        <f t="array" ref="F503">_xlfn.IFS(G503&lt;5000000, "Bronze", G503&lt;10000000, "Silver", G503&lt;20000000, "Gold", G503&gt;=20000000, "Diamond")</f>
        <v>Diamond</v>
      </c>
      <c r="G503" s="11">
        <f>SUMIF(Data_Donasi[Nama_Donatur],Data_Donasi[[#This Row],[Nama_Donatur]],Data_Donasi[Nominal])</f>
        <v>30000000</v>
      </c>
    </row>
    <row r="504" spans="1:7" x14ac:dyDescent="0.3">
      <c r="A504" s="14" t="s">
        <v>24</v>
      </c>
      <c r="B504" s="4" t="s">
        <v>124</v>
      </c>
      <c r="C504" s="4" t="s">
        <v>224</v>
      </c>
      <c r="D504" s="9">
        <v>45796</v>
      </c>
      <c r="E504" s="12">
        <v>7000000</v>
      </c>
      <c r="F504" t="str" cm="1">
        <f t="array" ref="F504">_xlfn.IFS(G504&lt;5000000, "Bronze", G504&lt;10000000, "Silver", G504&lt;20000000, "Gold", G504&gt;=20000000, "Diamond")</f>
        <v>Diamond</v>
      </c>
      <c r="G504" s="11">
        <f>SUMIF(Data_Donasi[Nama_Donatur],Data_Donasi[[#This Row],[Nama_Donatur]],Data_Donasi[Nominal])</f>
        <v>37700000</v>
      </c>
    </row>
    <row r="505" spans="1:7" x14ac:dyDescent="0.3">
      <c r="A505" s="14" t="s">
        <v>94</v>
      </c>
      <c r="B505" s="4" t="s">
        <v>194</v>
      </c>
      <c r="C505" s="4" t="s">
        <v>294</v>
      </c>
      <c r="D505" s="9">
        <v>45796</v>
      </c>
      <c r="E505" s="12">
        <v>50000</v>
      </c>
      <c r="F505" t="str" cm="1">
        <f t="array" ref="F505">_xlfn.IFS(G505&lt;5000000, "Bronze", G505&lt;10000000, "Silver", G505&lt;20000000, "Gold", G505&gt;=20000000, "Diamond")</f>
        <v>Diamond</v>
      </c>
      <c r="G505" s="11">
        <f>SUMIF(Data_Donasi[Nama_Donatur],Data_Donasi[[#This Row],[Nama_Donatur]],Data_Donasi[Nominal])</f>
        <v>26650000</v>
      </c>
    </row>
    <row r="506" spans="1:7" x14ac:dyDescent="0.3">
      <c r="A506" s="14" t="s">
        <v>53</v>
      </c>
      <c r="B506" s="4" t="s">
        <v>153</v>
      </c>
      <c r="C506" s="4" t="s">
        <v>253</v>
      </c>
      <c r="D506" s="9">
        <v>45797</v>
      </c>
      <c r="E506" s="12">
        <v>50000</v>
      </c>
      <c r="F506" t="str" cm="1">
        <f t="array" ref="F506">_xlfn.IFS(G506&lt;5000000, "Bronze", G506&lt;10000000, "Silver", G506&lt;20000000, "Gold", G506&gt;=20000000, "Diamond")</f>
        <v>Gold</v>
      </c>
      <c r="G506" s="11">
        <f>SUMIF(Data_Donasi[Nama_Donatur],Data_Donasi[[#This Row],[Nama_Donatur]],Data_Donasi[Nominal])</f>
        <v>10350000</v>
      </c>
    </row>
    <row r="507" spans="1:7" x14ac:dyDescent="0.3">
      <c r="A507" s="14" t="s">
        <v>15</v>
      </c>
      <c r="B507" s="4" t="s">
        <v>115</v>
      </c>
      <c r="C507" s="4" t="s">
        <v>215</v>
      </c>
      <c r="D507" s="9">
        <v>45797</v>
      </c>
      <c r="E507" s="12">
        <v>2000000</v>
      </c>
      <c r="F507" t="str" cm="1">
        <f t="array" ref="F507">_xlfn.IFS(G507&lt;5000000, "Bronze", G507&lt;10000000, "Silver", G507&lt;20000000, "Gold", G507&gt;=20000000, "Diamond")</f>
        <v>Diamond</v>
      </c>
      <c r="G507" s="11">
        <f>SUMIF(Data_Donasi[Nama_Donatur],Data_Donasi[[#This Row],[Nama_Donatur]],Data_Donasi[Nominal])</f>
        <v>84750000</v>
      </c>
    </row>
    <row r="508" spans="1:7" x14ac:dyDescent="0.3">
      <c r="A508" s="14" t="s">
        <v>24</v>
      </c>
      <c r="B508" s="4" t="s">
        <v>124</v>
      </c>
      <c r="C508" s="4" t="s">
        <v>224</v>
      </c>
      <c r="D508" s="9">
        <v>45798</v>
      </c>
      <c r="E508" s="12">
        <v>2000000</v>
      </c>
      <c r="F508" t="str" cm="1">
        <f t="array" ref="F508">_xlfn.IFS(G508&lt;5000000, "Bronze", G508&lt;10000000, "Silver", G508&lt;20000000, "Gold", G508&gt;=20000000, "Diamond")</f>
        <v>Diamond</v>
      </c>
      <c r="G508" s="11">
        <f>SUMIF(Data_Donasi[Nama_Donatur],Data_Donasi[[#This Row],[Nama_Donatur]],Data_Donasi[Nominal])</f>
        <v>37700000</v>
      </c>
    </row>
    <row r="509" spans="1:7" x14ac:dyDescent="0.3">
      <c r="A509" s="14" t="s">
        <v>95</v>
      </c>
      <c r="B509" s="4" t="s">
        <v>195</v>
      </c>
      <c r="C509" s="4" t="s">
        <v>295</v>
      </c>
      <c r="D509" s="9">
        <v>45798</v>
      </c>
      <c r="E509" s="12">
        <v>50000</v>
      </c>
      <c r="F509" t="str" cm="1">
        <f t="array" ref="F509">_xlfn.IFS(G509&lt;5000000, "Bronze", G509&lt;10000000, "Silver", G509&lt;20000000, "Gold", G509&gt;=20000000, "Diamond")</f>
        <v>Diamond</v>
      </c>
      <c r="G509" s="11">
        <f>SUMIF(Data_Donasi[Nama_Donatur],Data_Donasi[[#This Row],[Nama_Donatur]],Data_Donasi[Nominal])</f>
        <v>30000000</v>
      </c>
    </row>
    <row r="510" spans="1:7" x14ac:dyDescent="0.3">
      <c r="A510" s="14" t="s">
        <v>54</v>
      </c>
      <c r="B510" s="4" t="s">
        <v>154</v>
      </c>
      <c r="C510" s="4" t="s">
        <v>254</v>
      </c>
      <c r="D510" s="9">
        <v>45799</v>
      </c>
      <c r="E510" s="12">
        <v>100000</v>
      </c>
      <c r="F510" t="str" cm="1">
        <f t="array" ref="F510">_xlfn.IFS(G510&lt;5000000, "Bronze", G510&lt;10000000, "Silver", G510&lt;20000000, "Gold", G510&gt;=20000000, "Diamond")</f>
        <v>Silver</v>
      </c>
      <c r="G510" s="11">
        <f>SUMIF(Data_Donasi[Nama_Donatur],Data_Donasi[[#This Row],[Nama_Donatur]],Data_Donasi[Nominal])</f>
        <v>7500000</v>
      </c>
    </row>
    <row r="511" spans="1:7" x14ac:dyDescent="0.3">
      <c r="A511" s="14" t="s">
        <v>10</v>
      </c>
      <c r="B511" s="4" t="s">
        <v>110</v>
      </c>
      <c r="C511" s="4" t="s">
        <v>210</v>
      </c>
      <c r="D511" s="9">
        <v>45799</v>
      </c>
      <c r="E511" s="12">
        <v>10000000</v>
      </c>
      <c r="F511" t="str" cm="1">
        <f t="array" ref="F511">_xlfn.IFS(G511&lt;5000000, "Bronze", G511&lt;10000000, "Silver", G511&lt;20000000, "Gold", G511&gt;=20000000, "Diamond")</f>
        <v>Diamond</v>
      </c>
      <c r="G511" s="11">
        <f>SUMIF(Data_Donasi[Nama_Donatur],Data_Donasi[[#This Row],[Nama_Donatur]],Data_Donasi[Nominal])</f>
        <v>36200000</v>
      </c>
    </row>
    <row r="512" spans="1:7" x14ac:dyDescent="0.3">
      <c r="A512" s="14" t="s">
        <v>40</v>
      </c>
      <c r="B512" s="4" t="s">
        <v>140</v>
      </c>
      <c r="C512" s="4" t="s">
        <v>240</v>
      </c>
      <c r="D512" s="9">
        <v>45799</v>
      </c>
      <c r="E512" s="12">
        <v>3000000</v>
      </c>
      <c r="F512" t="str" cm="1">
        <f t="array" ref="F512">_xlfn.IFS(G512&lt;5000000, "Bronze", G512&lt;10000000, "Silver", G512&lt;20000000, "Gold", G512&gt;=20000000, "Diamond")</f>
        <v>Diamond</v>
      </c>
      <c r="G512" s="11">
        <f>SUMIF(Data_Donasi[Nama_Donatur],Data_Donasi[[#This Row],[Nama_Donatur]],Data_Donasi[Nominal])</f>
        <v>45950000</v>
      </c>
    </row>
    <row r="513" spans="1:7" x14ac:dyDescent="0.3">
      <c r="A513" s="14" t="s">
        <v>31</v>
      </c>
      <c r="B513" s="4" t="s">
        <v>131</v>
      </c>
      <c r="C513" s="4" t="s">
        <v>231</v>
      </c>
      <c r="D513" s="9">
        <v>45799</v>
      </c>
      <c r="E513" s="12">
        <v>100000</v>
      </c>
      <c r="F513" t="str" cm="1">
        <f t="array" ref="F513">_xlfn.IFS(G513&lt;5000000, "Bronze", G513&lt;10000000, "Silver", G513&lt;20000000, "Gold", G513&gt;=20000000, "Diamond")</f>
        <v>Diamond</v>
      </c>
      <c r="G513" s="11">
        <f>SUMIF(Data_Donasi[Nama_Donatur],Data_Donasi[[#This Row],[Nama_Donatur]],Data_Donasi[Nominal])</f>
        <v>73400000</v>
      </c>
    </row>
    <row r="514" spans="1:7" x14ac:dyDescent="0.3">
      <c r="A514" s="14" t="s">
        <v>50</v>
      </c>
      <c r="B514" s="4" t="s">
        <v>150</v>
      </c>
      <c r="C514" s="4" t="s">
        <v>250</v>
      </c>
      <c r="D514" s="9">
        <v>45800</v>
      </c>
      <c r="E514" s="12">
        <v>3000000</v>
      </c>
      <c r="F514" t="str" cm="1">
        <f t="array" ref="F514">_xlfn.IFS(G514&lt;5000000, "Bronze", G514&lt;10000000, "Silver", G514&lt;20000000, "Gold", G514&gt;=20000000, "Diamond")</f>
        <v>Diamond</v>
      </c>
      <c r="G514" s="11">
        <f>SUMIF(Data_Donasi[Nama_Donatur],Data_Donasi[[#This Row],[Nama_Donatur]],Data_Donasi[Nominal])</f>
        <v>39700000</v>
      </c>
    </row>
    <row r="515" spans="1:7" x14ac:dyDescent="0.3">
      <c r="A515" s="14" t="s">
        <v>54</v>
      </c>
      <c r="B515" s="4" t="s">
        <v>154</v>
      </c>
      <c r="C515" s="4" t="s">
        <v>254</v>
      </c>
      <c r="D515" s="9">
        <v>45800</v>
      </c>
      <c r="E515" s="12">
        <v>100000</v>
      </c>
      <c r="F515" t="str" cm="1">
        <f t="array" ref="F515">_xlfn.IFS(G515&lt;5000000, "Bronze", G515&lt;10000000, "Silver", G515&lt;20000000, "Gold", G515&gt;=20000000, "Diamond")</f>
        <v>Silver</v>
      </c>
      <c r="G515" s="11">
        <f>SUMIF(Data_Donasi[Nama_Donatur],Data_Donasi[[#This Row],[Nama_Donatur]],Data_Donasi[Nominal])</f>
        <v>7500000</v>
      </c>
    </row>
    <row r="516" spans="1:7" x14ac:dyDescent="0.3">
      <c r="A516" s="14" t="s">
        <v>46</v>
      </c>
      <c r="B516" s="4" t="s">
        <v>146</v>
      </c>
      <c r="C516" s="4" t="s">
        <v>246</v>
      </c>
      <c r="D516" s="9">
        <v>45800</v>
      </c>
      <c r="E516" s="12">
        <v>50000</v>
      </c>
      <c r="F516" t="str" cm="1">
        <f t="array" ref="F516">_xlfn.IFS(G516&lt;5000000, "Bronze", G516&lt;10000000, "Silver", G516&lt;20000000, "Gold", G516&gt;=20000000, "Diamond")</f>
        <v>Diamond</v>
      </c>
      <c r="G516" s="11">
        <f>SUMIF(Data_Donasi[Nama_Donatur],Data_Donasi[[#This Row],[Nama_Donatur]],Data_Donasi[Nominal])</f>
        <v>48550000</v>
      </c>
    </row>
    <row r="517" spans="1:7" x14ac:dyDescent="0.3">
      <c r="A517" s="14" t="s">
        <v>95</v>
      </c>
      <c r="B517" s="4" t="s">
        <v>195</v>
      </c>
      <c r="C517" s="4" t="s">
        <v>295</v>
      </c>
      <c r="D517" s="9">
        <v>45800</v>
      </c>
      <c r="E517" s="12">
        <v>2000000</v>
      </c>
      <c r="F517" t="str" cm="1">
        <f t="array" ref="F517">_xlfn.IFS(G517&lt;5000000, "Bronze", G517&lt;10000000, "Silver", G517&lt;20000000, "Gold", G517&gt;=20000000, "Diamond")</f>
        <v>Diamond</v>
      </c>
      <c r="G517" s="11">
        <f>SUMIF(Data_Donasi[Nama_Donatur],Data_Donasi[[#This Row],[Nama_Donatur]],Data_Donasi[Nominal])</f>
        <v>30000000</v>
      </c>
    </row>
    <row r="518" spans="1:7" x14ac:dyDescent="0.3">
      <c r="A518" s="14" t="s">
        <v>59</v>
      </c>
      <c r="B518" s="4" t="s">
        <v>159</v>
      </c>
      <c r="C518" s="4" t="s">
        <v>259</v>
      </c>
      <c r="D518" s="9">
        <v>45801</v>
      </c>
      <c r="E518" s="12">
        <v>20000000</v>
      </c>
      <c r="F518" t="str" cm="1">
        <f t="array" ref="F518">_xlfn.IFS(G518&lt;5000000, "Bronze", G518&lt;10000000, "Silver", G518&lt;20000000, "Gold", G518&gt;=20000000, "Diamond")</f>
        <v>Diamond</v>
      </c>
      <c r="G518" s="11">
        <f>SUMIF(Data_Donasi[Nama_Donatur],Data_Donasi[[#This Row],[Nama_Donatur]],Data_Donasi[Nominal])</f>
        <v>22850000</v>
      </c>
    </row>
    <row r="519" spans="1:7" x14ac:dyDescent="0.3">
      <c r="A519" s="14" t="s">
        <v>78</v>
      </c>
      <c r="B519" s="4" t="s">
        <v>178</v>
      </c>
      <c r="C519" s="4" t="s">
        <v>278</v>
      </c>
      <c r="D519" s="9">
        <v>45801</v>
      </c>
      <c r="E519" s="12">
        <v>10000000</v>
      </c>
      <c r="F519" t="str" cm="1">
        <f t="array" ref="F519">_xlfn.IFS(G519&lt;5000000, "Bronze", G519&lt;10000000, "Silver", G519&lt;20000000, "Gold", G519&gt;=20000000, "Diamond")</f>
        <v>Diamond</v>
      </c>
      <c r="G519" s="11">
        <f>SUMIF(Data_Donasi[Nama_Donatur],Data_Donasi[[#This Row],[Nama_Donatur]],Data_Donasi[Nominal])</f>
        <v>115650000</v>
      </c>
    </row>
    <row r="520" spans="1:7" x14ac:dyDescent="0.3">
      <c r="A520" s="14" t="s">
        <v>13</v>
      </c>
      <c r="B520" s="4" t="s">
        <v>113</v>
      </c>
      <c r="C520" s="4" t="s">
        <v>213</v>
      </c>
      <c r="D520" s="9">
        <v>45801</v>
      </c>
      <c r="E520" s="12">
        <v>100000</v>
      </c>
      <c r="F520" t="str" cm="1">
        <f t="array" ref="F520">_xlfn.IFS(G520&lt;5000000, "Bronze", G520&lt;10000000, "Silver", G520&lt;20000000, "Gold", G520&gt;=20000000, "Diamond")</f>
        <v>Diamond</v>
      </c>
      <c r="G520" s="11">
        <f>SUMIF(Data_Donasi[Nama_Donatur],Data_Donasi[[#This Row],[Nama_Donatur]],Data_Donasi[Nominal])</f>
        <v>46550000</v>
      </c>
    </row>
    <row r="521" spans="1:7" x14ac:dyDescent="0.3">
      <c r="A521" s="14" t="s">
        <v>101</v>
      </c>
      <c r="B521" s="4" t="s">
        <v>201</v>
      </c>
      <c r="C521" s="4" t="s">
        <v>301</v>
      </c>
      <c r="D521" s="9">
        <v>45801</v>
      </c>
      <c r="E521" s="12">
        <v>200000</v>
      </c>
      <c r="F521" t="str" cm="1">
        <f t="array" ref="F521">_xlfn.IFS(G521&lt;5000000, "Bronze", G521&lt;10000000, "Silver", G521&lt;20000000, "Gold", G521&gt;=20000000, "Diamond")</f>
        <v>Silver</v>
      </c>
      <c r="G521" s="11">
        <f>SUMIF(Data_Donasi[Nama_Donatur],Data_Donasi[[#This Row],[Nama_Donatur]],Data_Donasi[Nominal])</f>
        <v>8650000</v>
      </c>
    </row>
    <row r="522" spans="1:7" x14ac:dyDescent="0.3">
      <c r="A522" s="14" t="s">
        <v>35</v>
      </c>
      <c r="B522" s="4" t="s">
        <v>135</v>
      </c>
      <c r="C522" s="4" t="s">
        <v>235</v>
      </c>
      <c r="D522" s="9">
        <v>45801</v>
      </c>
      <c r="E522" s="12">
        <v>100000</v>
      </c>
      <c r="F522" t="str" cm="1">
        <f t="array" ref="F522">_xlfn.IFS(G522&lt;5000000, "Bronze", G522&lt;10000000, "Silver", G522&lt;20000000, "Gold", G522&gt;=20000000, "Diamond")</f>
        <v>Diamond</v>
      </c>
      <c r="G522" s="11">
        <f>SUMIF(Data_Donasi[Nama_Donatur],Data_Donasi[[#This Row],[Nama_Donatur]],Data_Donasi[Nominal])</f>
        <v>97200000</v>
      </c>
    </row>
    <row r="523" spans="1:7" x14ac:dyDescent="0.3">
      <c r="A523" s="14" t="s">
        <v>93</v>
      </c>
      <c r="B523" s="4" t="s">
        <v>193</v>
      </c>
      <c r="C523" s="4" t="s">
        <v>293</v>
      </c>
      <c r="D523" s="9">
        <v>45801</v>
      </c>
      <c r="E523" s="12">
        <v>3000000</v>
      </c>
      <c r="F523" t="str" cm="1">
        <f t="array" ref="F523">_xlfn.IFS(G523&lt;5000000, "Bronze", G523&lt;10000000, "Silver", G523&lt;20000000, "Gold", G523&gt;=20000000, "Diamond")</f>
        <v>Gold</v>
      </c>
      <c r="G523" s="11">
        <f>SUMIF(Data_Donasi[Nama_Donatur],Data_Donasi[[#This Row],[Nama_Donatur]],Data_Donasi[Nominal])</f>
        <v>19400000</v>
      </c>
    </row>
    <row r="524" spans="1:7" x14ac:dyDescent="0.3">
      <c r="A524" s="14" t="s">
        <v>101</v>
      </c>
      <c r="B524" s="4" t="s">
        <v>201</v>
      </c>
      <c r="C524" s="4" t="s">
        <v>301</v>
      </c>
      <c r="D524" s="9">
        <v>45801</v>
      </c>
      <c r="E524" s="12">
        <v>200000</v>
      </c>
      <c r="F524" t="str" cm="1">
        <f t="array" ref="F524">_xlfn.IFS(G524&lt;5000000, "Bronze", G524&lt;10000000, "Silver", G524&lt;20000000, "Gold", G524&gt;=20000000, "Diamond")</f>
        <v>Silver</v>
      </c>
      <c r="G524" s="11">
        <f>SUMIF(Data_Donasi[Nama_Donatur],Data_Donasi[[#This Row],[Nama_Donatur]],Data_Donasi[Nominal])</f>
        <v>8650000</v>
      </c>
    </row>
    <row r="525" spans="1:7" x14ac:dyDescent="0.3">
      <c r="A525" s="14" t="s">
        <v>104</v>
      </c>
      <c r="B525" s="4" t="s">
        <v>204</v>
      </c>
      <c r="C525" s="4" t="s">
        <v>304</v>
      </c>
      <c r="D525" s="9">
        <v>45801</v>
      </c>
      <c r="E525" s="12">
        <v>150000</v>
      </c>
      <c r="F525" t="str" cm="1">
        <f t="array" ref="F525">_xlfn.IFS(G525&lt;5000000, "Bronze", G525&lt;10000000, "Silver", G525&lt;20000000, "Gold", G525&gt;=20000000, "Diamond")</f>
        <v>Diamond</v>
      </c>
      <c r="G525" s="11">
        <f>SUMIF(Data_Donasi[Nama_Donatur],Data_Donasi[[#This Row],[Nama_Donatur]],Data_Donasi[Nominal])</f>
        <v>22000000</v>
      </c>
    </row>
    <row r="526" spans="1:7" x14ac:dyDescent="0.3">
      <c r="A526" s="14" t="s">
        <v>44</v>
      </c>
      <c r="B526" s="4" t="s">
        <v>144</v>
      </c>
      <c r="C526" s="4" t="s">
        <v>244</v>
      </c>
      <c r="D526" s="9">
        <v>45802</v>
      </c>
      <c r="E526" s="12">
        <v>1000000</v>
      </c>
      <c r="F526" t="str" cm="1">
        <f t="array" ref="F526">_xlfn.IFS(G526&lt;5000000, "Bronze", G526&lt;10000000, "Silver", G526&lt;20000000, "Gold", G526&gt;=20000000, "Diamond")</f>
        <v>Diamond</v>
      </c>
      <c r="G526" s="11">
        <f>SUMIF(Data_Donasi[Nama_Donatur],Data_Donasi[[#This Row],[Nama_Donatur]],Data_Donasi[Nominal])</f>
        <v>66400000</v>
      </c>
    </row>
    <row r="527" spans="1:7" x14ac:dyDescent="0.3">
      <c r="A527" s="14" t="s">
        <v>34</v>
      </c>
      <c r="B527" s="4" t="s">
        <v>134</v>
      </c>
      <c r="C527" s="4" t="s">
        <v>234</v>
      </c>
      <c r="D527" s="9">
        <v>45802</v>
      </c>
      <c r="E527" s="12">
        <v>1000000</v>
      </c>
      <c r="F527" t="str" cm="1">
        <f t="array" ref="F527">_xlfn.IFS(G527&lt;5000000, "Bronze", G527&lt;10000000, "Silver", G527&lt;20000000, "Gold", G527&gt;=20000000, "Diamond")</f>
        <v>Gold</v>
      </c>
      <c r="G527" s="11">
        <f>SUMIF(Data_Donasi[Nama_Donatur],Data_Donasi[[#This Row],[Nama_Donatur]],Data_Donasi[Nominal])</f>
        <v>18400000</v>
      </c>
    </row>
    <row r="528" spans="1:7" x14ac:dyDescent="0.3">
      <c r="A528" s="14" t="s">
        <v>83</v>
      </c>
      <c r="B528" s="4" t="s">
        <v>183</v>
      </c>
      <c r="C528" s="4" t="s">
        <v>283</v>
      </c>
      <c r="D528" s="9">
        <v>45803</v>
      </c>
      <c r="E528" s="12">
        <v>10000000</v>
      </c>
      <c r="F528" t="str" cm="1">
        <f t="array" ref="F528">_xlfn.IFS(G528&lt;5000000, "Bronze", G528&lt;10000000, "Silver", G528&lt;20000000, "Gold", G528&gt;=20000000, "Diamond")</f>
        <v>Diamond</v>
      </c>
      <c r="G528" s="11">
        <f>SUMIF(Data_Donasi[Nama_Donatur],Data_Donasi[[#This Row],[Nama_Donatur]],Data_Donasi[Nominal])</f>
        <v>47400000</v>
      </c>
    </row>
    <row r="529" spans="1:7" x14ac:dyDescent="0.3">
      <c r="A529" s="14" t="s">
        <v>10</v>
      </c>
      <c r="B529" s="4" t="s">
        <v>110</v>
      </c>
      <c r="C529" s="4" t="s">
        <v>210</v>
      </c>
      <c r="D529" s="9">
        <v>45803</v>
      </c>
      <c r="E529" s="12">
        <v>7000000</v>
      </c>
      <c r="F529" t="str" cm="1">
        <f t="array" ref="F529">_xlfn.IFS(G529&lt;5000000, "Bronze", G529&lt;10000000, "Silver", G529&lt;20000000, "Gold", G529&gt;=20000000, "Diamond")</f>
        <v>Diamond</v>
      </c>
      <c r="G529" s="11">
        <f>SUMIF(Data_Donasi[Nama_Donatur],Data_Donasi[[#This Row],[Nama_Donatur]],Data_Donasi[Nominal])</f>
        <v>36200000</v>
      </c>
    </row>
    <row r="530" spans="1:7" x14ac:dyDescent="0.3">
      <c r="A530" s="14" t="s">
        <v>27</v>
      </c>
      <c r="B530" s="4" t="s">
        <v>127</v>
      </c>
      <c r="C530" s="4" t="s">
        <v>227</v>
      </c>
      <c r="D530" s="9">
        <v>45804</v>
      </c>
      <c r="E530" s="12">
        <v>150000</v>
      </c>
      <c r="F530" t="str" cm="1">
        <f t="array" ref="F530">_xlfn.IFS(G530&lt;5000000, "Bronze", G530&lt;10000000, "Silver", G530&lt;20000000, "Gold", G530&gt;=20000000, "Diamond")</f>
        <v>Diamond</v>
      </c>
      <c r="G530" s="11">
        <f>SUMIF(Data_Donasi[Nama_Donatur],Data_Donasi[[#This Row],[Nama_Donatur]],Data_Donasi[Nominal])</f>
        <v>29050000</v>
      </c>
    </row>
    <row r="531" spans="1:7" x14ac:dyDescent="0.3">
      <c r="A531" s="14" t="s">
        <v>31</v>
      </c>
      <c r="B531" s="4" t="s">
        <v>131</v>
      </c>
      <c r="C531" s="4" t="s">
        <v>231</v>
      </c>
      <c r="D531" s="9">
        <v>45804</v>
      </c>
      <c r="E531" s="12">
        <v>3000000</v>
      </c>
      <c r="F531" t="str" cm="1">
        <f t="array" ref="F531">_xlfn.IFS(G531&lt;5000000, "Bronze", G531&lt;10000000, "Silver", G531&lt;20000000, "Gold", G531&gt;=20000000, "Diamond")</f>
        <v>Diamond</v>
      </c>
      <c r="G531" s="11">
        <f>SUMIF(Data_Donasi[Nama_Donatur],Data_Donasi[[#This Row],[Nama_Donatur]],Data_Donasi[Nominal])</f>
        <v>73400000</v>
      </c>
    </row>
    <row r="532" spans="1:7" x14ac:dyDescent="0.3">
      <c r="A532" s="14" t="s">
        <v>15</v>
      </c>
      <c r="B532" s="4" t="s">
        <v>115</v>
      </c>
      <c r="C532" s="4" t="s">
        <v>215</v>
      </c>
      <c r="D532" s="9">
        <v>45804</v>
      </c>
      <c r="E532" s="12">
        <v>7000000</v>
      </c>
      <c r="F532" t="str" cm="1">
        <f t="array" ref="F532">_xlfn.IFS(G532&lt;5000000, "Bronze", G532&lt;10000000, "Silver", G532&lt;20000000, "Gold", G532&gt;=20000000, "Diamond")</f>
        <v>Diamond</v>
      </c>
      <c r="G532" s="11">
        <f>SUMIF(Data_Donasi[Nama_Donatur],Data_Donasi[[#This Row],[Nama_Donatur]],Data_Donasi[Nominal])</f>
        <v>84750000</v>
      </c>
    </row>
    <row r="533" spans="1:7" x14ac:dyDescent="0.3">
      <c r="A533" s="14" t="s">
        <v>37</v>
      </c>
      <c r="B533" s="4" t="s">
        <v>137</v>
      </c>
      <c r="C533" s="4" t="s">
        <v>237</v>
      </c>
      <c r="D533" s="9">
        <v>45804</v>
      </c>
      <c r="E533" s="12">
        <v>1000000</v>
      </c>
      <c r="F533" t="str" cm="1">
        <f t="array" ref="F533">_xlfn.IFS(G533&lt;5000000, "Bronze", G533&lt;10000000, "Silver", G533&lt;20000000, "Gold", G533&gt;=20000000, "Diamond")</f>
        <v>Diamond</v>
      </c>
      <c r="G533" s="11">
        <f>SUMIF(Data_Donasi[Nama_Donatur],Data_Donasi[[#This Row],[Nama_Donatur]],Data_Donasi[Nominal])</f>
        <v>26200000</v>
      </c>
    </row>
    <row r="534" spans="1:7" x14ac:dyDescent="0.3">
      <c r="A534" s="14" t="s">
        <v>18</v>
      </c>
      <c r="B534" s="4" t="s">
        <v>118</v>
      </c>
      <c r="C534" s="4" t="s">
        <v>218</v>
      </c>
      <c r="D534" s="9">
        <v>45805</v>
      </c>
      <c r="E534" s="12">
        <v>3000000</v>
      </c>
      <c r="F534" t="str" cm="1">
        <f t="array" ref="F534">_xlfn.IFS(G534&lt;5000000, "Bronze", G534&lt;10000000, "Silver", G534&lt;20000000, "Gold", G534&gt;=20000000, "Diamond")</f>
        <v>Diamond</v>
      </c>
      <c r="G534" s="11">
        <f>SUMIF(Data_Donasi[Nama_Donatur],Data_Donasi[[#This Row],[Nama_Donatur]],Data_Donasi[Nominal])</f>
        <v>30000000</v>
      </c>
    </row>
    <row r="535" spans="1:7" x14ac:dyDescent="0.3">
      <c r="A535" s="14" t="s">
        <v>74</v>
      </c>
      <c r="B535" s="4" t="s">
        <v>174</v>
      </c>
      <c r="C535" s="4" t="s">
        <v>274</v>
      </c>
      <c r="D535" s="9">
        <v>45805</v>
      </c>
      <c r="E535" s="12">
        <v>7000000</v>
      </c>
      <c r="F535" t="str" cm="1">
        <f t="array" ref="F535">_xlfn.IFS(G535&lt;5000000, "Bronze", G535&lt;10000000, "Silver", G535&lt;20000000, "Gold", G535&gt;=20000000, "Diamond")</f>
        <v>Diamond</v>
      </c>
      <c r="G535" s="11">
        <f>SUMIF(Data_Donasi[Nama_Donatur],Data_Donasi[[#This Row],[Nama_Donatur]],Data_Donasi[Nominal])</f>
        <v>57450000</v>
      </c>
    </row>
    <row r="536" spans="1:7" x14ac:dyDescent="0.3">
      <c r="A536" s="14" t="s">
        <v>80</v>
      </c>
      <c r="B536" s="4" t="s">
        <v>180</v>
      </c>
      <c r="C536" s="4" t="s">
        <v>280</v>
      </c>
      <c r="D536" s="9">
        <v>45805</v>
      </c>
      <c r="E536" s="12">
        <v>50000</v>
      </c>
      <c r="F536" t="str" cm="1">
        <f t="array" ref="F536">_xlfn.IFS(G536&lt;5000000, "Bronze", G536&lt;10000000, "Silver", G536&lt;20000000, "Gold", G536&gt;=20000000, "Diamond")</f>
        <v>Diamond</v>
      </c>
      <c r="G536" s="11">
        <f>SUMIF(Data_Donasi[Nama_Donatur],Data_Donasi[[#This Row],[Nama_Donatur]],Data_Donasi[Nominal])</f>
        <v>57850000</v>
      </c>
    </row>
    <row r="537" spans="1:7" x14ac:dyDescent="0.3">
      <c r="A537" s="14" t="s">
        <v>70</v>
      </c>
      <c r="B537" s="4" t="s">
        <v>170</v>
      </c>
      <c r="C537" s="4" t="s">
        <v>270</v>
      </c>
      <c r="D537" s="9">
        <v>45805</v>
      </c>
      <c r="E537" s="12">
        <v>500000</v>
      </c>
      <c r="F537" t="str" cm="1">
        <f t="array" ref="F537">_xlfn.IFS(G537&lt;5000000, "Bronze", G537&lt;10000000, "Silver", G537&lt;20000000, "Gold", G537&gt;=20000000, "Diamond")</f>
        <v>Diamond</v>
      </c>
      <c r="G537" s="11">
        <f>SUMIF(Data_Donasi[Nama_Donatur],Data_Donasi[[#This Row],[Nama_Donatur]],Data_Donasi[Nominal])</f>
        <v>21600000</v>
      </c>
    </row>
    <row r="538" spans="1:7" x14ac:dyDescent="0.3">
      <c r="A538" s="14" t="s">
        <v>18</v>
      </c>
      <c r="B538" s="4" t="s">
        <v>118</v>
      </c>
      <c r="C538" s="4" t="s">
        <v>218</v>
      </c>
      <c r="D538" s="9">
        <v>45805</v>
      </c>
      <c r="E538" s="12">
        <v>2000000</v>
      </c>
      <c r="F538" t="str" cm="1">
        <f t="array" ref="F538">_xlfn.IFS(G538&lt;5000000, "Bronze", G538&lt;10000000, "Silver", G538&lt;20000000, "Gold", G538&gt;=20000000, "Diamond")</f>
        <v>Diamond</v>
      </c>
      <c r="G538" s="11">
        <f>SUMIF(Data_Donasi[Nama_Donatur],Data_Donasi[[#This Row],[Nama_Donatur]],Data_Donasi[Nominal])</f>
        <v>30000000</v>
      </c>
    </row>
    <row r="539" spans="1:7" x14ac:dyDescent="0.3">
      <c r="A539" s="14" t="s">
        <v>40</v>
      </c>
      <c r="B539" s="4" t="s">
        <v>140</v>
      </c>
      <c r="C539" s="4" t="s">
        <v>240</v>
      </c>
      <c r="D539" s="9">
        <v>45805</v>
      </c>
      <c r="E539" s="12">
        <v>5000000</v>
      </c>
      <c r="F539" t="str" cm="1">
        <f t="array" ref="F539">_xlfn.IFS(G539&lt;5000000, "Bronze", G539&lt;10000000, "Silver", G539&lt;20000000, "Gold", G539&gt;=20000000, "Diamond")</f>
        <v>Diamond</v>
      </c>
      <c r="G539" s="11">
        <f>SUMIF(Data_Donasi[Nama_Donatur],Data_Donasi[[#This Row],[Nama_Donatur]],Data_Donasi[Nominal])</f>
        <v>45950000</v>
      </c>
    </row>
    <row r="540" spans="1:7" x14ac:dyDescent="0.3">
      <c r="A540" s="14" t="s">
        <v>44</v>
      </c>
      <c r="B540" s="4" t="s">
        <v>144</v>
      </c>
      <c r="C540" s="4" t="s">
        <v>244</v>
      </c>
      <c r="D540" s="9">
        <v>45805</v>
      </c>
      <c r="E540" s="12">
        <v>10000000</v>
      </c>
      <c r="F540" t="str" cm="1">
        <f t="array" ref="F540">_xlfn.IFS(G540&lt;5000000, "Bronze", G540&lt;10000000, "Silver", G540&lt;20000000, "Gold", G540&gt;=20000000, "Diamond")</f>
        <v>Diamond</v>
      </c>
      <c r="G540" s="11">
        <f>SUMIF(Data_Donasi[Nama_Donatur],Data_Donasi[[#This Row],[Nama_Donatur]],Data_Donasi[Nominal])</f>
        <v>66400000</v>
      </c>
    </row>
    <row r="541" spans="1:7" x14ac:dyDescent="0.3">
      <c r="A541" s="14" t="s">
        <v>94</v>
      </c>
      <c r="B541" s="4" t="s">
        <v>194</v>
      </c>
      <c r="C541" s="4" t="s">
        <v>294</v>
      </c>
      <c r="D541" s="9">
        <v>45806</v>
      </c>
      <c r="E541" s="12">
        <v>250000</v>
      </c>
      <c r="F541" t="str" cm="1">
        <f t="array" ref="F541">_xlfn.IFS(G541&lt;5000000, "Bronze", G541&lt;10000000, "Silver", G541&lt;20000000, "Gold", G541&gt;=20000000, "Diamond")</f>
        <v>Diamond</v>
      </c>
      <c r="G541" s="11">
        <f>SUMIF(Data_Donasi[Nama_Donatur],Data_Donasi[[#This Row],[Nama_Donatur]],Data_Donasi[Nominal])</f>
        <v>26650000</v>
      </c>
    </row>
    <row r="542" spans="1:7" x14ac:dyDescent="0.3">
      <c r="A542" s="14" t="s">
        <v>28</v>
      </c>
      <c r="B542" s="4" t="s">
        <v>128</v>
      </c>
      <c r="C542" s="4" t="s">
        <v>228</v>
      </c>
      <c r="D542" s="9">
        <v>45806</v>
      </c>
      <c r="E542" s="12">
        <v>2000000</v>
      </c>
      <c r="F542" t="str" cm="1">
        <f t="array" ref="F542">_xlfn.IFS(G542&lt;5000000, "Bronze", G542&lt;10000000, "Silver", G542&lt;20000000, "Gold", G542&gt;=20000000, "Diamond")</f>
        <v>Diamond</v>
      </c>
      <c r="G542" s="11">
        <f>SUMIF(Data_Donasi[Nama_Donatur],Data_Donasi[[#This Row],[Nama_Donatur]],Data_Donasi[Nominal])</f>
        <v>26900000</v>
      </c>
    </row>
    <row r="543" spans="1:7" x14ac:dyDescent="0.3">
      <c r="A543" s="14" t="s">
        <v>31</v>
      </c>
      <c r="B543" s="4" t="s">
        <v>131</v>
      </c>
      <c r="C543" s="4" t="s">
        <v>231</v>
      </c>
      <c r="D543" s="9">
        <v>45807</v>
      </c>
      <c r="E543" s="12">
        <v>500000</v>
      </c>
      <c r="F543" t="str" cm="1">
        <f t="array" ref="F543">_xlfn.IFS(G543&lt;5000000, "Bronze", G543&lt;10000000, "Silver", G543&lt;20000000, "Gold", G543&gt;=20000000, "Diamond")</f>
        <v>Diamond</v>
      </c>
      <c r="G543" s="11">
        <f>SUMIF(Data_Donasi[Nama_Donatur],Data_Donasi[[#This Row],[Nama_Donatur]],Data_Donasi[Nominal])</f>
        <v>73400000</v>
      </c>
    </row>
    <row r="544" spans="1:7" x14ac:dyDescent="0.3">
      <c r="A544" s="14" t="s">
        <v>14</v>
      </c>
      <c r="B544" s="4" t="s">
        <v>114</v>
      </c>
      <c r="C544" s="4" t="s">
        <v>214</v>
      </c>
      <c r="D544" s="9">
        <v>45807</v>
      </c>
      <c r="E544" s="12">
        <v>5000000</v>
      </c>
      <c r="F544" t="str" cm="1">
        <f t="array" ref="F544">_xlfn.IFS(G544&lt;5000000, "Bronze", G544&lt;10000000, "Silver", G544&lt;20000000, "Gold", G544&gt;=20000000, "Diamond")</f>
        <v>Diamond</v>
      </c>
      <c r="G544" s="11">
        <f>SUMIF(Data_Donasi[Nama_Donatur],Data_Donasi[[#This Row],[Nama_Donatur]],Data_Donasi[Nominal])</f>
        <v>73750000</v>
      </c>
    </row>
    <row r="545" spans="1:7" x14ac:dyDescent="0.3">
      <c r="A545" s="14" t="s">
        <v>6</v>
      </c>
      <c r="B545" s="4" t="s">
        <v>106</v>
      </c>
      <c r="C545" s="4" t="s">
        <v>206</v>
      </c>
      <c r="D545" s="9">
        <v>45807</v>
      </c>
      <c r="E545" s="12">
        <v>5000000</v>
      </c>
      <c r="F545" t="str" cm="1">
        <f t="array" ref="F545">_xlfn.IFS(G545&lt;5000000, "Bronze", G545&lt;10000000, "Silver", G545&lt;20000000, "Gold", G545&gt;=20000000, "Diamond")</f>
        <v>Diamond</v>
      </c>
      <c r="G545" s="11">
        <f>SUMIF(Data_Donasi[Nama_Donatur],Data_Donasi[[#This Row],[Nama_Donatur]],Data_Donasi[Nominal])</f>
        <v>47600000</v>
      </c>
    </row>
    <row r="546" spans="1:7" x14ac:dyDescent="0.3">
      <c r="A546" s="14" t="s">
        <v>34</v>
      </c>
      <c r="B546" s="4" t="s">
        <v>134</v>
      </c>
      <c r="C546" s="4" t="s">
        <v>234</v>
      </c>
      <c r="D546" s="9">
        <v>45808</v>
      </c>
      <c r="E546" s="12">
        <v>500000</v>
      </c>
      <c r="F546" t="str" cm="1">
        <f t="array" ref="F546">_xlfn.IFS(G546&lt;5000000, "Bronze", G546&lt;10000000, "Silver", G546&lt;20000000, "Gold", G546&gt;=20000000, "Diamond")</f>
        <v>Gold</v>
      </c>
      <c r="G546" s="11">
        <f>SUMIF(Data_Donasi[Nama_Donatur],Data_Donasi[[#This Row],[Nama_Donatur]],Data_Donasi[Nominal])</f>
        <v>18400000</v>
      </c>
    </row>
    <row r="547" spans="1:7" x14ac:dyDescent="0.3">
      <c r="A547" s="14" t="s">
        <v>64</v>
      </c>
      <c r="B547" s="4" t="s">
        <v>164</v>
      </c>
      <c r="C547" s="4" t="s">
        <v>264</v>
      </c>
      <c r="D547" s="9">
        <v>45808</v>
      </c>
      <c r="E547" s="12">
        <v>250000</v>
      </c>
      <c r="F547" t="str" cm="1">
        <f t="array" ref="F547">_xlfn.IFS(G547&lt;5000000, "Bronze", G547&lt;10000000, "Silver", G547&lt;20000000, "Gold", G547&gt;=20000000, "Diamond")</f>
        <v>Diamond</v>
      </c>
      <c r="G547" s="11">
        <f>SUMIF(Data_Donasi[Nama_Donatur],Data_Donasi[[#This Row],[Nama_Donatur]],Data_Donasi[Nominal])</f>
        <v>27750000</v>
      </c>
    </row>
    <row r="548" spans="1:7" x14ac:dyDescent="0.3">
      <c r="A548" s="14" t="s">
        <v>96</v>
      </c>
      <c r="B548" s="4" t="s">
        <v>196</v>
      </c>
      <c r="C548" s="4" t="s">
        <v>296</v>
      </c>
      <c r="D548" s="9">
        <v>45809</v>
      </c>
      <c r="E548" s="12">
        <v>5000000</v>
      </c>
      <c r="F548" t="str" cm="1">
        <f t="array" ref="F548">_xlfn.IFS(G548&lt;5000000, "Bronze", G548&lt;10000000, "Silver", G548&lt;20000000, "Gold", G548&gt;=20000000, "Diamond")</f>
        <v>Diamond</v>
      </c>
      <c r="G548" s="11">
        <f>SUMIF(Data_Donasi[Nama_Donatur],Data_Donasi[[#This Row],[Nama_Donatur]],Data_Donasi[Nominal])</f>
        <v>24200000</v>
      </c>
    </row>
    <row r="549" spans="1:7" x14ac:dyDescent="0.3">
      <c r="A549" s="14" t="s">
        <v>102</v>
      </c>
      <c r="B549" s="4" t="s">
        <v>202</v>
      </c>
      <c r="C549" s="4" t="s">
        <v>302</v>
      </c>
      <c r="D549" s="9">
        <v>45809</v>
      </c>
      <c r="E549" s="12">
        <v>10000000</v>
      </c>
      <c r="F549" t="str" cm="1">
        <f t="array" ref="F549">_xlfn.IFS(G549&lt;5000000, "Bronze", G549&lt;10000000, "Silver", G549&lt;20000000, "Gold", G549&gt;=20000000, "Diamond")</f>
        <v>Diamond</v>
      </c>
      <c r="G549" s="11">
        <f>SUMIF(Data_Donasi[Nama_Donatur],Data_Donasi[[#This Row],[Nama_Donatur]],Data_Donasi[Nominal])</f>
        <v>55750000</v>
      </c>
    </row>
    <row r="550" spans="1:7" x14ac:dyDescent="0.3">
      <c r="A550" s="14" t="s">
        <v>55</v>
      </c>
      <c r="B550" s="4" t="s">
        <v>155</v>
      </c>
      <c r="C550" s="4" t="s">
        <v>255</v>
      </c>
      <c r="D550" s="9">
        <v>45809</v>
      </c>
      <c r="E550" s="12">
        <v>20000000</v>
      </c>
      <c r="F550" t="str" cm="1">
        <f t="array" ref="F550">_xlfn.IFS(G550&lt;5000000, "Bronze", G550&lt;10000000, "Silver", G550&lt;20000000, "Gold", G550&gt;=20000000, "Diamond")</f>
        <v>Diamond</v>
      </c>
      <c r="G550" s="11">
        <f>SUMIF(Data_Donasi[Nama_Donatur],Data_Donasi[[#This Row],[Nama_Donatur]],Data_Donasi[Nominal])</f>
        <v>50950000</v>
      </c>
    </row>
    <row r="551" spans="1:7" x14ac:dyDescent="0.3">
      <c r="A551" s="14" t="s">
        <v>13</v>
      </c>
      <c r="B551" s="4" t="s">
        <v>113</v>
      </c>
      <c r="C551" s="4" t="s">
        <v>213</v>
      </c>
      <c r="D551" s="9">
        <v>45810</v>
      </c>
      <c r="E551" s="12">
        <v>20000000</v>
      </c>
      <c r="F551" t="str" cm="1">
        <f t="array" ref="F551">_xlfn.IFS(G551&lt;5000000, "Bronze", G551&lt;10000000, "Silver", G551&lt;20000000, "Gold", G551&gt;=20000000, "Diamond")</f>
        <v>Diamond</v>
      </c>
      <c r="G551" s="11">
        <f>SUMIF(Data_Donasi[Nama_Donatur],Data_Donasi[[#This Row],[Nama_Donatur]],Data_Donasi[Nominal])</f>
        <v>46550000</v>
      </c>
    </row>
    <row r="552" spans="1:7" x14ac:dyDescent="0.3">
      <c r="A552" s="14" t="s">
        <v>11</v>
      </c>
      <c r="B552" s="4" t="s">
        <v>111</v>
      </c>
      <c r="C552" s="4" t="s">
        <v>211</v>
      </c>
      <c r="D552" s="9">
        <v>45810</v>
      </c>
      <c r="E552" s="12">
        <v>2000000</v>
      </c>
      <c r="F552" t="str" cm="1">
        <f t="array" ref="F552">_xlfn.IFS(G552&lt;5000000, "Bronze", G552&lt;10000000, "Silver", G552&lt;20000000, "Gold", G552&gt;=20000000, "Diamond")</f>
        <v>Diamond</v>
      </c>
      <c r="G552" s="11">
        <f>SUMIF(Data_Donasi[Nama_Donatur],Data_Donasi[[#This Row],[Nama_Donatur]],Data_Donasi[Nominal])</f>
        <v>26800000</v>
      </c>
    </row>
    <row r="553" spans="1:7" x14ac:dyDescent="0.3">
      <c r="A553" s="14" t="s">
        <v>63</v>
      </c>
      <c r="B553" s="4" t="s">
        <v>163</v>
      </c>
      <c r="C553" s="4" t="s">
        <v>263</v>
      </c>
      <c r="D553" s="9">
        <v>45810</v>
      </c>
      <c r="E553" s="12">
        <v>250000</v>
      </c>
      <c r="F553" t="str" cm="1">
        <f t="array" ref="F553">_xlfn.IFS(G553&lt;5000000, "Bronze", G553&lt;10000000, "Silver", G553&lt;20000000, "Gold", G553&gt;=20000000, "Diamond")</f>
        <v>Gold</v>
      </c>
      <c r="G553" s="11">
        <f>SUMIF(Data_Donasi[Nama_Donatur],Data_Donasi[[#This Row],[Nama_Donatur]],Data_Donasi[Nominal])</f>
        <v>15700000</v>
      </c>
    </row>
    <row r="554" spans="1:7" x14ac:dyDescent="0.3">
      <c r="A554" s="14" t="s">
        <v>63</v>
      </c>
      <c r="B554" s="4" t="s">
        <v>163</v>
      </c>
      <c r="C554" s="4" t="s">
        <v>263</v>
      </c>
      <c r="D554" s="9">
        <v>45810</v>
      </c>
      <c r="E554" s="12">
        <v>50000</v>
      </c>
      <c r="F554" t="str" cm="1">
        <f t="array" ref="F554">_xlfn.IFS(G554&lt;5000000, "Bronze", G554&lt;10000000, "Silver", G554&lt;20000000, "Gold", G554&gt;=20000000, "Diamond")</f>
        <v>Gold</v>
      </c>
      <c r="G554" s="11">
        <f>SUMIF(Data_Donasi[Nama_Donatur],Data_Donasi[[#This Row],[Nama_Donatur]],Data_Donasi[Nominal])</f>
        <v>15700000</v>
      </c>
    </row>
    <row r="555" spans="1:7" x14ac:dyDescent="0.3">
      <c r="A555" s="14" t="s">
        <v>55</v>
      </c>
      <c r="B555" s="4" t="s">
        <v>155</v>
      </c>
      <c r="C555" s="4" t="s">
        <v>255</v>
      </c>
      <c r="D555" s="9">
        <v>45810</v>
      </c>
      <c r="E555" s="12">
        <v>20000000</v>
      </c>
      <c r="F555" t="str" cm="1">
        <f t="array" ref="F555">_xlfn.IFS(G555&lt;5000000, "Bronze", G555&lt;10000000, "Silver", G555&lt;20000000, "Gold", G555&gt;=20000000, "Diamond")</f>
        <v>Diamond</v>
      </c>
      <c r="G555" s="11">
        <f>SUMIF(Data_Donasi[Nama_Donatur],Data_Donasi[[#This Row],[Nama_Donatur]],Data_Donasi[Nominal])</f>
        <v>50950000</v>
      </c>
    </row>
    <row r="556" spans="1:7" x14ac:dyDescent="0.3">
      <c r="A556" s="14" t="s">
        <v>54</v>
      </c>
      <c r="B556" s="4" t="s">
        <v>154</v>
      </c>
      <c r="C556" s="4" t="s">
        <v>254</v>
      </c>
      <c r="D556" s="9">
        <v>45810</v>
      </c>
      <c r="E556" s="12">
        <v>2000000</v>
      </c>
      <c r="F556" t="str" cm="1">
        <f t="array" ref="F556">_xlfn.IFS(G556&lt;5000000, "Bronze", G556&lt;10000000, "Silver", G556&lt;20000000, "Gold", G556&gt;=20000000, "Diamond")</f>
        <v>Silver</v>
      </c>
      <c r="G556" s="11">
        <f>SUMIF(Data_Donasi[Nama_Donatur],Data_Donasi[[#This Row],[Nama_Donatur]],Data_Donasi[Nominal])</f>
        <v>7500000</v>
      </c>
    </row>
    <row r="557" spans="1:7" x14ac:dyDescent="0.3">
      <c r="A557" s="14" t="s">
        <v>9</v>
      </c>
      <c r="B557" s="4" t="s">
        <v>109</v>
      </c>
      <c r="C557" s="4" t="s">
        <v>209</v>
      </c>
      <c r="D557" s="9">
        <v>45810</v>
      </c>
      <c r="E557" s="12">
        <v>500000</v>
      </c>
      <c r="F557" t="str" cm="1">
        <f t="array" ref="F557">_xlfn.IFS(G557&lt;5000000, "Bronze", G557&lt;10000000, "Silver", G557&lt;20000000, "Gold", G557&gt;=20000000, "Diamond")</f>
        <v>Diamond</v>
      </c>
      <c r="G557" s="11">
        <f>SUMIF(Data_Donasi[Nama_Donatur],Data_Donasi[[#This Row],[Nama_Donatur]],Data_Donasi[Nominal])</f>
        <v>24900000</v>
      </c>
    </row>
    <row r="558" spans="1:7" x14ac:dyDescent="0.3">
      <c r="A558" s="14" t="s">
        <v>36</v>
      </c>
      <c r="B558" s="4" t="s">
        <v>136</v>
      </c>
      <c r="C558" s="4" t="s">
        <v>236</v>
      </c>
      <c r="D558" s="9">
        <v>45810</v>
      </c>
      <c r="E558" s="12">
        <v>150000</v>
      </c>
      <c r="F558" t="str" cm="1">
        <f t="array" ref="F558">_xlfn.IFS(G558&lt;5000000, "Bronze", G558&lt;10000000, "Silver", G558&lt;20000000, "Gold", G558&gt;=20000000, "Diamond")</f>
        <v>Diamond</v>
      </c>
      <c r="G558" s="11">
        <f>SUMIF(Data_Donasi[Nama_Donatur],Data_Donasi[[#This Row],[Nama_Donatur]],Data_Donasi[Nominal])</f>
        <v>25500000</v>
      </c>
    </row>
    <row r="559" spans="1:7" x14ac:dyDescent="0.3">
      <c r="A559" s="14" t="s">
        <v>44</v>
      </c>
      <c r="B559" s="4" t="s">
        <v>144</v>
      </c>
      <c r="C559" s="4" t="s">
        <v>244</v>
      </c>
      <c r="D559" s="9">
        <v>45811</v>
      </c>
      <c r="E559" s="12">
        <v>100000</v>
      </c>
      <c r="F559" t="str" cm="1">
        <f t="array" ref="F559">_xlfn.IFS(G559&lt;5000000, "Bronze", G559&lt;10000000, "Silver", G559&lt;20000000, "Gold", G559&gt;=20000000, "Diamond")</f>
        <v>Diamond</v>
      </c>
      <c r="G559" s="11">
        <f>SUMIF(Data_Donasi[Nama_Donatur],Data_Donasi[[#This Row],[Nama_Donatur]],Data_Donasi[Nominal])</f>
        <v>66400000</v>
      </c>
    </row>
    <row r="560" spans="1:7" x14ac:dyDescent="0.3">
      <c r="A560" s="14" t="s">
        <v>102</v>
      </c>
      <c r="B560" s="4" t="s">
        <v>202</v>
      </c>
      <c r="C560" s="4" t="s">
        <v>302</v>
      </c>
      <c r="D560" s="9">
        <v>45812</v>
      </c>
      <c r="E560" s="12">
        <v>50000</v>
      </c>
      <c r="F560" t="str" cm="1">
        <f t="array" ref="F560">_xlfn.IFS(G560&lt;5000000, "Bronze", G560&lt;10000000, "Silver", G560&lt;20000000, "Gold", G560&gt;=20000000, "Diamond")</f>
        <v>Diamond</v>
      </c>
      <c r="G560" s="11">
        <f>SUMIF(Data_Donasi[Nama_Donatur],Data_Donasi[[#This Row],[Nama_Donatur]],Data_Donasi[Nominal])</f>
        <v>55750000</v>
      </c>
    </row>
    <row r="561" spans="1:7" x14ac:dyDescent="0.3">
      <c r="A561" s="14" t="s">
        <v>92</v>
      </c>
      <c r="B561" s="4" t="s">
        <v>192</v>
      </c>
      <c r="C561" s="4" t="s">
        <v>292</v>
      </c>
      <c r="D561" s="9">
        <v>45812</v>
      </c>
      <c r="E561" s="12">
        <v>500000</v>
      </c>
      <c r="F561" t="str" cm="1">
        <f t="array" ref="F561">_xlfn.IFS(G561&lt;5000000, "Bronze", G561&lt;10000000, "Silver", G561&lt;20000000, "Gold", G561&gt;=20000000, "Diamond")</f>
        <v>Diamond</v>
      </c>
      <c r="G561" s="11">
        <f>SUMIF(Data_Donasi[Nama_Donatur],Data_Donasi[[#This Row],[Nama_Donatur]],Data_Donasi[Nominal])</f>
        <v>55700000</v>
      </c>
    </row>
    <row r="562" spans="1:7" x14ac:dyDescent="0.3">
      <c r="A562" s="14" t="s">
        <v>77</v>
      </c>
      <c r="B562" s="4" t="s">
        <v>177</v>
      </c>
      <c r="C562" s="4" t="s">
        <v>277</v>
      </c>
      <c r="D562" s="9">
        <v>45812</v>
      </c>
      <c r="E562" s="12">
        <v>7000000</v>
      </c>
      <c r="F562" t="str" cm="1">
        <f t="array" ref="F562">_xlfn.IFS(G562&lt;5000000, "Bronze", G562&lt;10000000, "Silver", G562&lt;20000000, "Gold", G562&gt;=20000000, "Diamond")</f>
        <v>Diamond</v>
      </c>
      <c r="G562" s="11">
        <f>SUMIF(Data_Donasi[Nama_Donatur],Data_Donasi[[#This Row],[Nama_Donatur]],Data_Donasi[Nominal])</f>
        <v>47350000</v>
      </c>
    </row>
    <row r="563" spans="1:7" x14ac:dyDescent="0.3">
      <c r="A563" s="14" t="s">
        <v>58</v>
      </c>
      <c r="B563" s="4" t="s">
        <v>158</v>
      </c>
      <c r="C563" s="4" t="s">
        <v>258</v>
      </c>
      <c r="D563" s="9">
        <v>45813</v>
      </c>
      <c r="E563" s="12">
        <v>250000</v>
      </c>
      <c r="F563" t="str" cm="1">
        <f t="array" ref="F563">_xlfn.IFS(G563&lt;5000000, "Bronze", G563&lt;10000000, "Silver", G563&lt;20000000, "Gold", G563&gt;=20000000, "Diamond")</f>
        <v>Gold</v>
      </c>
      <c r="G563" s="11">
        <f>SUMIF(Data_Donasi[Nama_Donatur],Data_Donasi[[#This Row],[Nama_Donatur]],Data_Donasi[Nominal])</f>
        <v>12000000</v>
      </c>
    </row>
    <row r="564" spans="1:7" x14ac:dyDescent="0.3">
      <c r="A564" s="14" t="s">
        <v>85</v>
      </c>
      <c r="B564" s="4" t="s">
        <v>185</v>
      </c>
      <c r="C564" s="4" t="s">
        <v>285</v>
      </c>
      <c r="D564" s="9">
        <v>45813</v>
      </c>
      <c r="E564" s="12">
        <v>200000</v>
      </c>
      <c r="F564" t="str" cm="1">
        <f t="array" ref="F564">_xlfn.IFS(G564&lt;5000000, "Bronze", G564&lt;10000000, "Silver", G564&lt;20000000, "Gold", G564&gt;=20000000, "Diamond")</f>
        <v>Gold</v>
      </c>
      <c r="G564" s="11">
        <f>SUMIF(Data_Donasi[Nama_Donatur],Data_Donasi[[#This Row],[Nama_Donatur]],Data_Donasi[Nominal])</f>
        <v>18900000</v>
      </c>
    </row>
    <row r="565" spans="1:7" x14ac:dyDescent="0.3">
      <c r="A565" s="14" t="s">
        <v>104</v>
      </c>
      <c r="B565" s="4" t="s">
        <v>204</v>
      </c>
      <c r="C565" s="4" t="s">
        <v>304</v>
      </c>
      <c r="D565" s="9">
        <v>45813</v>
      </c>
      <c r="E565" s="12">
        <v>3000000</v>
      </c>
      <c r="F565" t="str" cm="1">
        <f t="array" ref="F565">_xlfn.IFS(G565&lt;5000000, "Bronze", G565&lt;10000000, "Silver", G565&lt;20000000, "Gold", G565&gt;=20000000, "Diamond")</f>
        <v>Diamond</v>
      </c>
      <c r="G565" s="11">
        <f>SUMIF(Data_Donasi[Nama_Donatur],Data_Donasi[[#This Row],[Nama_Donatur]],Data_Donasi[Nominal])</f>
        <v>22000000</v>
      </c>
    </row>
    <row r="566" spans="1:7" x14ac:dyDescent="0.3">
      <c r="A566" s="14" t="s">
        <v>68</v>
      </c>
      <c r="B566" s="4" t="s">
        <v>168</v>
      </c>
      <c r="C566" s="4" t="s">
        <v>268</v>
      </c>
      <c r="D566" s="9">
        <v>45814</v>
      </c>
      <c r="E566" s="12">
        <v>20000000</v>
      </c>
      <c r="F566" t="str" cm="1">
        <f t="array" ref="F566">_xlfn.IFS(G566&lt;5000000, "Bronze", G566&lt;10000000, "Silver", G566&lt;20000000, "Gold", G566&gt;=20000000, "Diamond")</f>
        <v>Diamond</v>
      </c>
      <c r="G566" s="11">
        <f>SUMIF(Data_Donasi[Nama_Donatur],Data_Donasi[[#This Row],[Nama_Donatur]],Data_Donasi[Nominal])</f>
        <v>24500000</v>
      </c>
    </row>
    <row r="567" spans="1:7" x14ac:dyDescent="0.3">
      <c r="A567" s="14" t="s">
        <v>19</v>
      </c>
      <c r="B567" s="4" t="s">
        <v>119</v>
      </c>
      <c r="C567" s="4" t="s">
        <v>219</v>
      </c>
      <c r="D567" s="9">
        <v>45814</v>
      </c>
      <c r="E567" s="12">
        <v>7000000</v>
      </c>
      <c r="F567" t="str" cm="1">
        <f t="array" ref="F567">_xlfn.IFS(G567&lt;5000000, "Bronze", G567&lt;10000000, "Silver", G567&lt;20000000, "Gold", G567&gt;=20000000, "Diamond")</f>
        <v>Diamond</v>
      </c>
      <c r="G567" s="11">
        <f>SUMIF(Data_Donasi[Nama_Donatur],Data_Donasi[[#This Row],[Nama_Donatur]],Data_Donasi[Nominal])</f>
        <v>63400000</v>
      </c>
    </row>
    <row r="568" spans="1:7" x14ac:dyDescent="0.3">
      <c r="A568" s="14" t="s">
        <v>81</v>
      </c>
      <c r="B568" s="4" t="s">
        <v>181</v>
      </c>
      <c r="C568" s="4" t="s">
        <v>281</v>
      </c>
      <c r="D568" s="9">
        <v>45814</v>
      </c>
      <c r="E568" s="12">
        <v>100000</v>
      </c>
      <c r="F568" t="str" cm="1">
        <f t="array" ref="F568">_xlfn.IFS(G568&lt;5000000, "Bronze", G568&lt;10000000, "Silver", G568&lt;20000000, "Gold", G568&gt;=20000000, "Diamond")</f>
        <v>Diamond</v>
      </c>
      <c r="G568" s="11">
        <f>SUMIF(Data_Donasi[Nama_Donatur],Data_Donasi[[#This Row],[Nama_Donatur]],Data_Donasi[Nominal])</f>
        <v>86000000</v>
      </c>
    </row>
    <row r="569" spans="1:7" x14ac:dyDescent="0.3">
      <c r="A569" s="14" t="s">
        <v>30</v>
      </c>
      <c r="B569" s="4" t="s">
        <v>130</v>
      </c>
      <c r="C569" s="4" t="s">
        <v>230</v>
      </c>
      <c r="D569" s="9">
        <v>45815</v>
      </c>
      <c r="E569" s="12">
        <v>100000</v>
      </c>
      <c r="F569" t="str" cm="1">
        <f t="array" ref="F569">_xlfn.IFS(G569&lt;5000000, "Bronze", G569&lt;10000000, "Silver", G569&lt;20000000, "Gold", G569&gt;=20000000, "Diamond")</f>
        <v>Diamond</v>
      </c>
      <c r="G569" s="11">
        <f>SUMIF(Data_Donasi[Nama_Donatur],Data_Donasi[[#This Row],[Nama_Donatur]],Data_Donasi[Nominal])</f>
        <v>135600000</v>
      </c>
    </row>
    <row r="570" spans="1:7" x14ac:dyDescent="0.3">
      <c r="A570" s="14" t="s">
        <v>50</v>
      </c>
      <c r="B570" s="4" t="s">
        <v>150</v>
      </c>
      <c r="C570" s="4" t="s">
        <v>250</v>
      </c>
      <c r="D570" s="9">
        <v>45815</v>
      </c>
      <c r="E570" s="12">
        <v>2000000</v>
      </c>
      <c r="F570" t="str" cm="1">
        <f t="array" ref="F570">_xlfn.IFS(G570&lt;5000000, "Bronze", G570&lt;10000000, "Silver", G570&lt;20000000, "Gold", G570&gt;=20000000, "Diamond")</f>
        <v>Diamond</v>
      </c>
      <c r="G570" s="11">
        <f>SUMIF(Data_Donasi[Nama_Donatur],Data_Donasi[[#This Row],[Nama_Donatur]],Data_Donasi[Nominal])</f>
        <v>39700000</v>
      </c>
    </row>
    <row r="571" spans="1:7" x14ac:dyDescent="0.3">
      <c r="A571" s="14" t="s">
        <v>39</v>
      </c>
      <c r="B571" s="4" t="s">
        <v>139</v>
      </c>
      <c r="C571" s="4" t="s">
        <v>239</v>
      </c>
      <c r="D571" s="9">
        <v>45815</v>
      </c>
      <c r="E571" s="12">
        <v>20000000</v>
      </c>
      <c r="F571" t="str" cm="1">
        <f t="array" ref="F571">_xlfn.IFS(G571&lt;5000000, "Bronze", G571&lt;10000000, "Silver", G571&lt;20000000, "Gold", G571&gt;=20000000, "Diamond")</f>
        <v>Diamond</v>
      </c>
      <c r="G571" s="11">
        <f>SUMIF(Data_Donasi[Nama_Donatur],Data_Donasi[[#This Row],[Nama_Donatur]],Data_Donasi[Nominal])</f>
        <v>50750000</v>
      </c>
    </row>
    <row r="572" spans="1:7" x14ac:dyDescent="0.3">
      <c r="A572" s="14" t="s">
        <v>68</v>
      </c>
      <c r="B572" s="4" t="s">
        <v>168</v>
      </c>
      <c r="C572" s="4" t="s">
        <v>268</v>
      </c>
      <c r="D572" s="9">
        <v>45816</v>
      </c>
      <c r="E572" s="12">
        <v>50000</v>
      </c>
      <c r="F572" t="str" cm="1">
        <f t="array" ref="F572">_xlfn.IFS(G572&lt;5000000, "Bronze", G572&lt;10000000, "Silver", G572&lt;20000000, "Gold", G572&gt;=20000000, "Diamond")</f>
        <v>Diamond</v>
      </c>
      <c r="G572" s="11">
        <f>SUMIF(Data_Donasi[Nama_Donatur],Data_Donasi[[#This Row],[Nama_Donatur]],Data_Donasi[Nominal])</f>
        <v>24500000</v>
      </c>
    </row>
    <row r="573" spans="1:7" x14ac:dyDescent="0.3">
      <c r="A573" s="14" t="s">
        <v>69</v>
      </c>
      <c r="B573" s="4" t="s">
        <v>169</v>
      </c>
      <c r="C573" s="4" t="s">
        <v>269</v>
      </c>
      <c r="D573" s="9">
        <v>45816</v>
      </c>
      <c r="E573" s="12">
        <v>50000</v>
      </c>
      <c r="F573" t="str" cm="1">
        <f t="array" ref="F573">_xlfn.IFS(G573&lt;5000000, "Bronze", G573&lt;10000000, "Silver", G573&lt;20000000, "Gold", G573&gt;=20000000, "Diamond")</f>
        <v>Diamond</v>
      </c>
      <c r="G573" s="11">
        <f>SUMIF(Data_Donasi[Nama_Donatur],Data_Donasi[[#This Row],[Nama_Donatur]],Data_Donasi[Nominal])</f>
        <v>53350000</v>
      </c>
    </row>
    <row r="574" spans="1:7" x14ac:dyDescent="0.3">
      <c r="A574" s="14" t="s">
        <v>32</v>
      </c>
      <c r="B574" s="4" t="s">
        <v>132</v>
      </c>
      <c r="C574" s="4" t="s">
        <v>232</v>
      </c>
      <c r="D574" s="9">
        <v>45816</v>
      </c>
      <c r="E574" s="12">
        <v>150000</v>
      </c>
      <c r="F574" t="str" cm="1">
        <f t="array" ref="F574">_xlfn.IFS(G574&lt;5000000, "Bronze", G574&lt;10000000, "Silver", G574&lt;20000000, "Gold", G574&gt;=20000000, "Diamond")</f>
        <v>Diamond</v>
      </c>
      <c r="G574" s="11">
        <f>SUMIF(Data_Donasi[Nama_Donatur],Data_Donasi[[#This Row],[Nama_Donatur]],Data_Donasi[Nominal])</f>
        <v>23800000</v>
      </c>
    </row>
    <row r="575" spans="1:7" x14ac:dyDescent="0.3">
      <c r="A575" s="14" t="s">
        <v>94</v>
      </c>
      <c r="B575" s="4" t="s">
        <v>194</v>
      </c>
      <c r="C575" s="4" t="s">
        <v>294</v>
      </c>
      <c r="D575" s="9">
        <v>45816</v>
      </c>
      <c r="E575" s="12">
        <v>50000</v>
      </c>
      <c r="F575" t="str" cm="1">
        <f t="array" ref="F575">_xlfn.IFS(G575&lt;5000000, "Bronze", G575&lt;10000000, "Silver", G575&lt;20000000, "Gold", G575&gt;=20000000, "Diamond")</f>
        <v>Diamond</v>
      </c>
      <c r="G575" s="11">
        <f>SUMIF(Data_Donasi[Nama_Donatur],Data_Donasi[[#This Row],[Nama_Donatur]],Data_Donasi[Nominal])</f>
        <v>26650000</v>
      </c>
    </row>
    <row r="576" spans="1:7" x14ac:dyDescent="0.3">
      <c r="A576" s="14" t="s">
        <v>100</v>
      </c>
      <c r="B576" s="4" t="s">
        <v>200</v>
      </c>
      <c r="C576" s="4" t="s">
        <v>300</v>
      </c>
      <c r="D576" s="9">
        <v>45816</v>
      </c>
      <c r="E576" s="12">
        <v>500000</v>
      </c>
      <c r="F576" t="str" cm="1">
        <f t="array" ref="F576">_xlfn.IFS(G576&lt;5000000, "Bronze", G576&lt;10000000, "Silver", G576&lt;20000000, "Gold", G576&gt;=20000000, "Diamond")</f>
        <v>Diamond</v>
      </c>
      <c r="G576" s="11">
        <f>SUMIF(Data_Donasi[Nama_Donatur],Data_Donasi[[#This Row],[Nama_Donatur]],Data_Donasi[Nominal])</f>
        <v>40900000</v>
      </c>
    </row>
    <row r="577" spans="1:7" x14ac:dyDescent="0.3">
      <c r="A577" s="14" t="s">
        <v>100</v>
      </c>
      <c r="B577" s="4" t="s">
        <v>200</v>
      </c>
      <c r="C577" s="4" t="s">
        <v>300</v>
      </c>
      <c r="D577" s="9">
        <v>45816</v>
      </c>
      <c r="E577" s="12">
        <v>20000000</v>
      </c>
      <c r="F577" t="str" cm="1">
        <f t="array" ref="F577">_xlfn.IFS(G577&lt;5000000, "Bronze", G577&lt;10000000, "Silver", G577&lt;20000000, "Gold", G577&gt;=20000000, "Diamond")</f>
        <v>Diamond</v>
      </c>
      <c r="G577" s="11">
        <f>SUMIF(Data_Donasi[Nama_Donatur],Data_Donasi[[#This Row],[Nama_Donatur]],Data_Donasi[Nominal])</f>
        <v>40900000</v>
      </c>
    </row>
    <row r="578" spans="1:7" x14ac:dyDescent="0.3">
      <c r="A578" s="14" t="s">
        <v>10</v>
      </c>
      <c r="B578" s="4" t="s">
        <v>110</v>
      </c>
      <c r="C578" s="4" t="s">
        <v>210</v>
      </c>
      <c r="D578" s="9">
        <v>45817</v>
      </c>
      <c r="E578" s="12">
        <v>1000000</v>
      </c>
      <c r="F578" t="str" cm="1">
        <f t="array" ref="F578">_xlfn.IFS(G578&lt;5000000, "Bronze", G578&lt;10000000, "Silver", G578&lt;20000000, "Gold", G578&gt;=20000000, "Diamond")</f>
        <v>Diamond</v>
      </c>
      <c r="G578" s="11">
        <f>SUMIF(Data_Donasi[Nama_Donatur],Data_Donasi[[#This Row],[Nama_Donatur]],Data_Donasi[Nominal])</f>
        <v>36200000</v>
      </c>
    </row>
    <row r="579" spans="1:7" x14ac:dyDescent="0.3">
      <c r="A579" s="14" t="s">
        <v>78</v>
      </c>
      <c r="B579" s="4" t="s">
        <v>178</v>
      </c>
      <c r="C579" s="4" t="s">
        <v>278</v>
      </c>
      <c r="D579" s="9">
        <v>45818</v>
      </c>
      <c r="E579" s="12">
        <v>7000000</v>
      </c>
      <c r="F579" t="str" cm="1">
        <f t="array" ref="F579">_xlfn.IFS(G579&lt;5000000, "Bronze", G579&lt;10000000, "Silver", G579&lt;20000000, "Gold", G579&gt;=20000000, "Diamond")</f>
        <v>Diamond</v>
      </c>
      <c r="G579" s="11">
        <f>SUMIF(Data_Donasi[Nama_Donatur],Data_Donasi[[#This Row],[Nama_Donatur]],Data_Donasi[Nominal])</f>
        <v>115650000</v>
      </c>
    </row>
    <row r="580" spans="1:7" x14ac:dyDescent="0.3">
      <c r="A580" s="14" t="s">
        <v>100</v>
      </c>
      <c r="B580" s="4" t="s">
        <v>200</v>
      </c>
      <c r="C580" s="4" t="s">
        <v>300</v>
      </c>
      <c r="D580" s="9">
        <v>45818</v>
      </c>
      <c r="E580" s="12">
        <v>20000000</v>
      </c>
      <c r="F580" t="str" cm="1">
        <f t="array" ref="F580">_xlfn.IFS(G580&lt;5000000, "Bronze", G580&lt;10000000, "Silver", G580&lt;20000000, "Gold", G580&gt;=20000000, "Diamond")</f>
        <v>Diamond</v>
      </c>
      <c r="G580" s="11">
        <f>SUMIF(Data_Donasi[Nama_Donatur],Data_Donasi[[#This Row],[Nama_Donatur]],Data_Donasi[Nominal])</f>
        <v>40900000</v>
      </c>
    </row>
    <row r="581" spans="1:7" x14ac:dyDescent="0.3">
      <c r="A581" s="14" t="s">
        <v>83</v>
      </c>
      <c r="B581" s="4" t="s">
        <v>183</v>
      </c>
      <c r="C581" s="4" t="s">
        <v>283</v>
      </c>
      <c r="D581" s="9">
        <v>45818</v>
      </c>
      <c r="E581" s="12">
        <v>2000000</v>
      </c>
      <c r="F581" t="str" cm="1">
        <f t="array" ref="F581">_xlfn.IFS(G581&lt;5000000, "Bronze", G581&lt;10000000, "Silver", G581&lt;20000000, "Gold", G581&gt;=20000000, "Diamond")</f>
        <v>Diamond</v>
      </c>
      <c r="G581" s="11">
        <f>SUMIF(Data_Donasi[Nama_Donatur],Data_Donasi[[#This Row],[Nama_Donatur]],Data_Donasi[Nominal])</f>
        <v>47400000</v>
      </c>
    </row>
    <row r="582" spans="1:7" x14ac:dyDescent="0.3">
      <c r="A582" s="14" t="s">
        <v>94</v>
      </c>
      <c r="B582" s="4" t="s">
        <v>194</v>
      </c>
      <c r="C582" s="4" t="s">
        <v>294</v>
      </c>
      <c r="D582" s="9">
        <v>45819</v>
      </c>
      <c r="E582" s="12">
        <v>1000000</v>
      </c>
      <c r="F582" t="str" cm="1">
        <f t="array" ref="F582">_xlfn.IFS(G582&lt;5000000, "Bronze", G582&lt;10000000, "Silver", G582&lt;20000000, "Gold", G582&gt;=20000000, "Diamond")</f>
        <v>Diamond</v>
      </c>
      <c r="G582" s="11">
        <f>SUMIF(Data_Donasi[Nama_Donatur],Data_Donasi[[#This Row],[Nama_Donatur]],Data_Donasi[Nominal])</f>
        <v>26650000</v>
      </c>
    </row>
    <row r="583" spans="1:7" x14ac:dyDescent="0.3">
      <c r="A583" s="14" t="s">
        <v>48</v>
      </c>
      <c r="B583" s="4" t="s">
        <v>148</v>
      </c>
      <c r="C583" s="4" t="s">
        <v>248</v>
      </c>
      <c r="D583" s="9">
        <v>45819</v>
      </c>
      <c r="E583" s="12">
        <v>20000000</v>
      </c>
      <c r="F583" t="str" cm="1">
        <f t="array" ref="F583">_xlfn.IFS(G583&lt;5000000, "Bronze", G583&lt;10000000, "Silver", G583&lt;20000000, "Gold", G583&gt;=20000000, "Diamond")</f>
        <v>Diamond</v>
      </c>
      <c r="G583" s="11">
        <f>SUMIF(Data_Donasi[Nama_Donatur],Data_Donasi[[#This Row],[Nama_Donatur]],Data_Donasi[Nominal])</f>
        <v>41150000</v>
      </c>
    </row>
    <row r="584" spans="1:7" x14ac:dyDescent="0.3">
      <c r="A584" s="14" t="s">
        <v>12</v>
      </c>
      <c r="B584" s="4" t="s">
        <v>112</v>
      </c>
      <c r="C584" s="4" t="s">
        <v>212</v>
      </c>
      <c r="D584" s="9">
        <v>45820</v>
      </c>
      <c r="E584" s="12">
        <v>50000</v>
      </c>
      <c r="F584" t="str" cm="1">
        <f t="array" ref="F584">_xlfn.IFS(G584&lt;5000000, "Bronze", G584&lt;10000000, "Silver", G584&lt;20000000, "Gold", G584&gt;=20000000, "Diamond")</f>
        <v>Silver</v>
      </c>
      <c r="G584" s="11">
        <f>SUMIF(Data_Donasi[Nama_Donatur],Data_Donasi[[#This Row],[Nama_Donatur]],Data_Donasi[Nominal])</f>
        <v>8900000</v>
      </c>
    </row>
    <row r="585" spans="1:7" x14ac:dyDescent="0.3">
      <c r="A585" s="14" t="s">
        <v>29</v>
      </c>
      <c r="B585" s="4" t="s">
        <v>129</v>
      </c>
      <c r="C585" s="4" t="s">
        <v>229</v>
      </c>
      <c r="D585" s="9">
        <v>45820</v>
      </c>
      <c r="E585" s="12">
        <v>7000000</v>
      </c>
      <c r="F585" t="str" cm="1">
        <f t="array" ref="F585">_xlfn.IFS(G585&lt;5000000, "Bronze", G585&lt;10000000, "Silver", G585&lt;20000000, "Gold", G585&gt;=20000000, "Diamond")</f>
        <v>Diamond</v>
      </c>
      <c r="G585" s="11">
        <f>SUMIF(Data_Donasi[Nama_Donatur],Data_Donasi[[#This Row],[Nama_Donatur]],Data_Donasi[Nominal])</f>
        <v>30400000</v>
      </c>
    </row>
    <row r="586" spans="1:7" x14ac:dyDescent="0.3">
      <c r="A586" s="14" t="s">
        <v>84</v>
      </c>
      <c r="B586" s="4" t="s">
        <v>184</v>
      </c>
      <c r="C586" s="4" t="s">
        <v>284</v>
      </c>
      <c r="D586" s="9">
        <v>45820</v>
      </c>
      <c r="E586" s="12">
        <v>50000</v>
      </c>
      <c r="F586" t="str" cm="1">
        <f t="array" ref="F586">_xlfn.IFS(G586&lt;5000000, "Bronze", G586&lt;10000000, "Silver", G586&lt;20000000, "Gold", G586&gt;=20000000, "Diamond")</f>
        <v>Diamond</v>
      </c>
      <c r="G586" s="11">
        <f>SUMIF(Data_Donasi[Nama_Donatur],Data_Donasi[[#This Row],[Nama_Donatur]],Data_Donasi[Nominal])</f>
        <v>33150000</v>
      </c>
    </row>
    <row r="587" spans="1:7" x14ac:dyDescent="0.3">
      <c r="A587" s="14" t="s">
        <v>88</v>
      </c>
      <c r="B587" s="4" t="s">
        <v>188</v>
      </c>
      <c r="C587" s="4" t="s">
        <v>288</v>
      </c>
      <c r="D587" s="9">
        <v>45821</v>
      </c>
      <c r="E587" s="12">
        <v>150000</v>
      </c>
      <c r="F587" t="str" cm="1">
        <f t="array" ref="F587">_xlfn.IFS(G587&lt;5000000, "Bronze", G587&lt;10000000, "Silver", G587&lt;20000000, "Gold", G587&gt;=20000000, "Diamond")</f>
        <v>Diamond</v>
      </c>
      <c r="G587" s="11">
        <f>SUMIF(Data_Donasi[Nama_Donatur],Data_Donasi[[#This Row],[Nama_Donatur]],Data_Donasi[Nominal])</f>
        <v>51750000</v>
      </c>
    </row>
    <row r="588" spans="1:7" x14ac:dyDescent="0.3">
      <c r="A588" s="14" t="s">
        <v>82</v>
      </c>
      <c r="B588" s="4" t="s">
        <v>182</v>
      </c>
      <c r="C588" s="4" t="s">
        <v>282</v>
      </c>
      <c r="D588" s="9">
        <v>45822</v>
      </c>
      <c r="E588" s="12">
        <v>50000</v>
      </c>
      <c r="F588" t="str" cm="1">
        <f t="array" ref="F588">_xlfn.IFS(G588&lt;5000000, "Bronze", G588&lt;10000000, "Silver", G588&lt;20000000, "Gold", G588&gt;=20000000, "Diamond")</f>
        <v>Diamond</v>
      </c>
      <c r="G588" s="11">
        <f>SUMIF(Data_Donasi[Nama_Donatur],Data_Donasi[[#This Row],[Nama_Donatur]],Data_Donasi[Nominal])</f>
        <v>63700000</v>
      </c>
    </row>
    <row r="589" spans="1:7" x14ac:dyDescent="0.3">
      <c r="A589" s="14" t="s">
        <v>26</v>
      </c>
      <c r="B589" s="4" t="s">
        <v>126</v>
      </c>
      <c r="C589" s="4" t="s">
        <v>226</v>
      </c>
      <c r="D589" s="9">
        <v>45822</v>
      </c>
      <c r="E589" s="12">
        <v>2000000</v>
      </c>
      <c r="F589" t="str" cm="1">
        <f t="array" ref="F589">_xlfn.IFS(G589&lt;5000000, "Bronze", G589&lt;10000000, "Silver", G589&lt;20000000, "Gold", G589&gt;=20000000, "Diamond")</f>
        <v>Diamond</v>
      </c>
      <c r="G589" s="11">
        <f>SUMIF(Data_Donasi[Nama_Donatur],Data_Donasi[[#This Row],[Nama_Donatur]],Data_Donasi[Nominal])</f>
        <v>46450000</v>
      </c>
    </row>
    <row r="590" spans="1:7" x14ac:dyDescent="0.3">
      <c r="A590" s="14" t="s">
        <v>102</v>
      </c>
      <c r="B590" s="4" t="s">
        <v>202</v>
      </c>
      <c r="C590" s="4" t="s">
        <v>302</v>
      </c>
      <c r="D590" s="9">
        <v>45822</v>
      </c>
      <c r="E590" s="12">
        <v>150000</v>
      </c>
      <c r="F590" t="str" cm="1">
        <f t="array" ref="F590">_xlfn.IFS(G590&lt;5000000, "Bronze", G590&lt;10000000, "Silver", G590&lt;20000000, "Gold", G590&gt;=20000000, "Diamond")</f>
        <v>Diamond</v>
      </c>
      <c r="G590" s="11">
        <f>SUMIF(Data_Donasi[Nama_Donatur],Data_Donasi[[#This Row],[Nama_Donatur]],Data_Donasi[Nominal])</f>
        <v>55750000</v>
      </c>
    </row>
    <row r="591" spans="1:7" x14ac:dyDescent="0.3">
      <c r="A591" s="14" t="s">
        <v>81</v>
      </c>
      <c r="B591" s="4" t="s">
        <v>181</v>
      </c>
      <c r="C591" s="4" t="s">
        <v>281</v>
      </c>
      <c r="D591" s="9">
        <v>45823</v>
      </c>
      <c r="E591" s="12">
        <v>3000000</v>
      </c>
      <c r="F591" t="str" cm="1">
        <f t="array" ref="F591">_xlfn.IFS(G591&lt;5000000, "Bronze", G591&lt;10000000, "Silver", G591&lt;20000000, "Gold", G591&gt;=20000000, "Diamond")</f>
        <v>Diamond</v>
      </c>
      <c r="G591" s="11">
        <f>SUMIF(Data_Donasi[Nama_Donatur],Data_Donasi[[#This Row],[Nama_Donatur]],Data_Donasi[Nominal])</f>
        <v>86000000</v>
      </c>
    </row>
    <row r="592" spans="1:7" x14ac:dyDescent="0.3">
      <c r="A592" s="14" t="s">
        <v>101</v>
      </c>
      <c r="B592" s="4" t="s">
        <v>201</v>
      </c>
      <c r="C592" s="4" t="s">
        <v>301</v>
      </c>
      <c r="D592" s="9">
        <v>45823</v>
      </c>
      <c r="E592" s="12">
        <v>150000</v>
      </c>
      <c r="F592" t="str" cm="1">
        <f t="array" ref="F592">_xlfn.IFS(G592&lt;5000000, "Bronze", G592&lt;10000000, "Silver", G592&lt;20000000, "Gold", G592&gt;=20000000, "Diamond")</f>
        <v>Silver</v>
      </c>
      <c r="G592" s="11">
        <f>SUMIF(Data_Donasi[Nama_Donatur],Data_Donasi[[#This Row],[Nama_Donatur]],Data_Donasi[Nominal])</f>
        <v>8650000</v>
      </c>
    </row>
    <row r="593" spans="1:7" x14ac:dyDescent="0.3">
      <c r="A593" s="14" t="s">
        <v>78</v>
      </c>
      <c r="B593" s="4" t="s">
        <v>178</v>
      </c>
      <c r="C593" s="4" t="s">
        <v>278</v>
      </c>
      <c r="D593" s="9">
        <v>45823</v>
      </c>
      <c r="E593" s="12">
        <v>3000000</v>
      </c>
      <c r="F593" t="str" cm="1">
        <f t="array" ref="F593">_xlfn.IFS(G593&lt;5000000, "Bronze", G593&lt;10000000, "Silver", G593&lt;20000000, "Gold", G593&gt;=20000000, "Diamond")</f>
        <v>Diamond</v>
      </c>
      <c r="G593" s="11">
        <f>SUMIF(Data_Donasi[Nama_Donatur],Data_Donasi[[#This Row],[Nama_Donatur]],Data_Donasi[Nominal])</f>
        <v>115650000</v>
      </c>
    </row>
    <row r="594" spans="1:7" x14ac:dyDescent="0.3">
      <c r="A594" s="14" t="s">
        <v>70</v>
      </c>
      <c r="B594" s="4" t="s">
        <v>170</v>
      </c>
      <c r="C594" s="4" t="s">
        <v>270</v>
      </c>
      <c r="D594" s="9">
        <v>45823</v>
      </c>
      <c r="E594" s="12">
        <v>50000</v>
      </c>
      <c r="F594" t="str" cm="1">
        <f t="array" ref="F594">_xlfn.IFS(G594&lt;5000000, "Bronze", G594&lt;10000000, "Silver", G594&lt;20000000, "Gold", G594&gt;=20000000, "Diamond")</f>
        <v>Diamond</v>
      </c>
      <c r="G594" s="11">
        <f>SUMIF(Data_Donasi[Nama_Donatur],Data_Donasi[[#This Row],[Nama_Donatur]],Data_Donasi[Nominal])</f>
        <v>21600000</v>
      </c>
    </row>
    <row r="595" spans="1:7" x14ac:dyDescent="0.3">
      <c r="A595" s="14" t="s">
        <v>10</v>
      </c>
      <c r="B595" s="4" t="s">
        <v>110</v>
      </c>
      <c r="C595" s="4" t="s">
        <v>210</v>
      </c>
      <c r="D595" s="9">
        <v>45823</v>
      </c>
      <c r="E595" s="12">
        <v>500000</v>
      </c>
      <c r="F595" t="str" cm="1">
        <f t="array" ref="F595">_xlfn.IFS(G595&lt;5000000, "Bronze", G595&lt;10000000, "Silver", G595&lt;20000000, "Gold", G595&gt;=20000000, "Diamond")</f>
        <v>Diamond</v>
      </c>
      <c r="G595" s="11">
        <f>SUMIF(Data_Donasi[Nama_Donatur],Data_Donasi[[#This Row],[Nama_Donatur]],Data_Donasi[Nominal])</f>
        <v>36200000</v>
      </c>
    </row>
    <row r="596" spans="1:7" x14ac:dyDescent="0.3">
      <c r="A596" s="14" t="s">
        <v>36</v>
      </c>
      <c r="B596" s="4" t="s">
        <v>136</v>
      </c>
      <c r="C596" s="4" t="s">
        <v>236</v>
      </c>
      <c r="D596" s="9">
        <v>45823</v>
      </c>
      <c r="E596" s="12">
        <v>500000</v>
      </c>
      <c r="F596" t="str" cm="1">
        <f t="array" ref="F596">_xlfn.IFS(G596&lt;5000000, "Bronze", G596&lt;10000000, "Silver", G596&lt;20000000, "Gold", G596&gt;=20000000, "Diamond")</f>
        <v>Diamond</v>
      </c>
      <c r="G596" s="11">
        <f>SUMIF(Data_Donasi[Nama_Donatur],Data_Donasi[[#This Row],[Nama_Donatur]],Data_Donasi[Nominal])</f>
        <v>25500000</v>
      </c>
    </row>
    <row r="597" spans="1:7" x14ac:dyDescent="0.3">
      <c r="A597" s="14" t="s">
        <v>51</v>
      </c>
      <c r="B597" s="4" t="s">
        <v>151</v>
      </c>
      <c r="C597" s="4" t="s">
        <v>251</v>
      </c>
      <c r="D597" s="9">
        <v>45824</v>
      </c>
      <c r="E597" s="12">
        <v>20000000</v>
      </c>
      <c r="F597" t="str" cm="1">
        <f t="array" ref="F597">_xlfn.IFS(G597&lt;5000000, "Bronze", G597&lt;10000000, "Silver", G597&lt;20000000, "Gold", G597&gt;=20000000, "Diamond")</f>
        <v>Diamond</v>
      </c>
      <c r="G597" s="11">
        <f>SUMIF(Data_Donasi[Nama_Donatur],Data_Donasi[[#This Row],[Nama_Donatur]],Data_Donasi[Nominal])</f>
        <v>46450000</v>
      </c>
    </row>
    <row r="598" spans="1:7" x14ac:dyDescent="0.3">
      <c r="A598" s="14" t="s">
        <v>75</v>
      </c>
      <c r="B598" s="4" t="s">
        <v>175</v>
      </c>
      <c r="C598" s="4" t="s">
        <v>275</v>
      </c>
      <c r="D598" s="9">
        <v>45824</v>
      </c>
      <c r="E598" s="12">
        <v>20000000</v>
      </c>
      <c r="F598" t="str" cm="1">
        <f t="array" ref="F598">_xlfn.IFS(G598&lt;5000000, "Bronze", G598&lt;10000000, "Silver", G598&lt;20000000, "Gold", G598&gt;=20000000, "Diamond")</f>
        <v>Diamond</v>
      </c>
      <c r="G598" s="11">
        <f>SUMIF(Data_Donasi[Nama_Donatur],Data_Donasi[[#This Row],[Nama_Donatur]],Data_Donasi[Nominal])</f>
        <v>44400000</v>
      </c>
    </row>
    <row r="599" spans="1:7" x14ac:dyDescent="0.3">
      <c r="A599" s="14" t="s">
        <v>48</v>
      </c>
      <c r="B599" s="4" t="s">
        <v>148</v>
      </c>
      <c r="C599" s="4" t="s">
        <v>248</v>
      </c>
      <c r="D599" s="9">
        <v>45824</v>
      </c>
      <c r="E599" s="12">
        <v>100000</v>
      </c>
      <c r="F599" t="str" cm="1">
        <f t="array" ref="F599">_xlfn.IFS(G599&lt;5000000, "Bronze", G599&lt;10000000, "Silver", G599&lt;20000000, "Gold", G599&gt;=20000000, "Diamond")</f>
        <v>Diamond</v>
      </c>
      <c r="G599" s="11">
        <f>SUMIF(Data_Donasi[Nama_Donatur],Data_Donasi[[#This Row],[Nama_Donatur]],Data_Donasi[Nominal])</f>
        <v>41150000</v>
      </c>
    </row>
    <row r="600" spans="1:7" x14ac:dyDescent="0.3">
      <c r="A600" s="14" t="s">
        <v>64</v>
      </c>
      <c r="B600" s="4" t="s">
        <v>164</v>
      </c>
      <c r="C600" s="4" t="s">
        <v>264</v>
      </c>
      <c r="D600" s="9">
        <v>45826</v>
      </c>
      <c r="E600" s="12">
        <v>3000000</v>
      </c>
      <c r="F600" t="str" cm="1">
        <f t="array" ref="F600">_xlfn.IFS(G600&lt;5000000, "Bronze", G600&lt;10000000, "Silver", G600&lt;20000000, "Gold", G600&gt;=20000000, "Diamond")</f>
        <v>Diamond</v>
      </c>
      <c r="G600" s="11">
        <f>SUMIF(Data_Donasi[Nama_Donatur],Data_Donasi[[#This Row],[Nama_Donatur]],Data_Donasi[Nominal])</f>
        <v>27750000</v>
      </c>
    </row>
    <row r="601" spans="1:7" x14ac:dyDescent="0.3">
      <c r="A601" s="14" t="s">
        <v>71</v>
      </c>
      <c r="B601" s="4" t="s">
        <v>171</v>
      </c>
      <c r="C601" s="4" t="s">
        <v>271</v>
      </c>
      <c r="D601" s="9">
        <v>45826</v>
      </c>
      <c r="E601" s="12">
        <v>100000</v>
      </c>
      <c r="F601" t="str" cm="1">
        <f t="array" ref="F601">_xlfn.IFS(G601&lt;5000000, "Bronze", G601&lt;10000000, "Silver", G601&lt;20000000, "Gold", G601&gt;=20000000, "Diamond")</f>
        <v>Gold</v>
      </c>
      <c r="G601" s="11">
        <f>SUMIF(Data_Donasi[Nama_Donatur],Data_Donasi[[#This Row],[Nama_Donatur]],Data_Donasi[Nominal])</f>
        <v>15200000</v>
      </c>
    </row>
    <row r="602" spans="1:7" x14ac:dyDescent="0.3">
      <c r="A602" s="14" t="s">
        <v>78</v>
      </c>
      <c r="B602" s="4" t="s">
        <v>178</v>
      </c>
      <c r="C602" s="4" t="s">
        <v>278</v>
      </c>
      <c r="D602" s="9">
        <v>45826</v>
      </c>
      <c r="E602" s="12">
        <v>7000000</v>
      </c>
      <c r="F602" t="str" cm="1">
        <f t="array" ref="F602">_xlfn.IFS(G602&lt;5000000, "Bronze", G602&lt;10000000, "Silver", G602&lt;20000000, "Gold", G602&gt;=20000000, "Diamond")</f>
        <v>Diamond</v>
      </c>
      <c r="G602" s="11">
        <f>SUMIF(Data_Donasi[Nama_Donatur],Data_Donasi[[#This Row],[Nama_Donatur]],Data_Donasi[Nominal])</f>
        <v>115650000</v>
      </c>
    </row>
    <row r="603" spans="1:7" x14ac:dyDescent="0.3">
      <c r="A603" s="14" t="s">
        <v>45</v>
      </c>
      <c r="B603" s="4" t="s">
        <v>145</v>
      </c>
      <c r="C603" s="4" t="s">
        <v>245</v>
      </c>
      <c r="D603" s="9">
        <v>45826</v>
      </c>
      <c r="E603" s="12">
        <v>2000000</v>
      </c>
      <c r="F603" t="str" cm="1">
        <f t="array" ref="F603">_xlfn.IFS(G603&lt;5000000, "Bronze", G603&lt;10000000, "Silver", G603&lt;20000000, "Gold", G603&gt;=20000000, "Diamond")</f>
        <v>Diamond</v>
      </c>
      <c r="G603" s="11">
        <f>SUMIF(Data_Donasi[Nama_Donatur],Data_Donasi[[#This Row],[Nama_Donatur]],Data_Donasi[Nominal])</f>
        <v>42850000</v>
      </c>
    </row>
    <row r="604" spans="1:7" x14ac:dyDescent="0.3">
      <c r="A604" s="14" t="s">
        <v>56</v>
      </c>
      <c r="B604" s="4" t="s">
        <v>156</v>
      </c>
      <c r="C604" s="4" t="s">
        <v>256</v>
      </c>
      <c r="D604" s="9">
        <v>45827</v>
      </c>
      <c r="E604" s="12">
        <v>1000000</v>
      </c>
      <c r="F604" t="str" cm="1">
        <f t="array" ref="F604">_xlfn.IFS(G604&lt;5000000, "Bronze", G604&lt;10000000, "Silver", G604&lt;20000000, "Gold", G604&gt;=20000000, "Diamond")</f>
        <v>Diamond</v>
      </c>
      <c r="G604" s="11">
        <f>SUMIF(Data_Donasi[Nama_Donatur],Data_Donasi[[#This Row],[Nama_Donatur]],Data_Donasi[Nominal])</f>
        <v>49000000</v>
      </c>
    </row>
    <row r="605" spans="1:7" x14ac:dyDescent="0.3">
      <c r="A605" s="14" t="s">
        <v>77</v>
      </c>
      <c r="B605" s="4" t="s">
        <v>177</v>
      </c>
      <c r="C605" s="4" t="s">
        <v>277</v>
      </c>
      <c r="D605" s="9">
        <v>45828</v>
      </c>
      <c r="E605" s="12">
        <v>50000</v>
      </c>
      <c r="F605" t="str" cm="1">
        <f t="array" ref="F605">_xlfn.IFS(G605&lt;5000000, "Bronze", G605&lt;10000000, "Silver", G605&lt;20000000, "Gold", G605&gt;=20000000, "Diamond")</f>
        <v>Diamond</v>
      </c>
      <c r="G605" s="11">
        <f>SUMIF(Data_Donasi[Nama_Donatur],Data_Donasi[[#This Row],[Nama_Donatur]],Data_Donasi[Nominal])</f>
        <v>47350000</v>
      </c>
    </row>
    <row r="606" spans="1:7" x14ac:dyDescent="0.3">
      <c r="A606" s="14" t="s">
        <v>86</v>
      </c>
      <c r="B606" s="4" t="s">
        <v>186</v>
      </c>
      <c r="C606" s="4" t="s">
        <v>286</v>
      </c>
      <c r="D606" s="9">
        <v>45828</v>
      </c>
      <c r="E606" s="12">
        <v>3000000</v>
      </c>
      <c r="F606" t="str" cm="1">
        <f t="array" ref="F606">_xlfn.IFS(G606&lt;5000000, "Bronze", G606&lt;10000000, "Silver", G606&lt;20000000, "Gold", G606&gt;=20000000, "Diamond")</f>
        <v>Diamond</v>
      </c>
      <c r="G606" s="11">
        <f>SUMIF(Data_Donasi[Nama_Donatur],Data_Donasi[[#This Row],[Nama_Donatur]],Data_Donasi[Nominal])</f>
        <v>50500000</v>
      </c>
    </row>
    <row r="607" spans="1:7" x14ac:dyDescent="0.3">
      <c r="A607" s="14" t="s">
        <v>56</v>
      </c>
      <c r="B607" s="4" t="s">
        <v>156</v>
      </c>
      <c r="C607" s="4" t="s">
        <v>256</v>
      </c>
      <c r="D607" s="9">
        <v>45828</v>
      </c>
      <c r="E607" s="12">
        <v>150000</v>
      </c>
      <c r="F607" t="str" cm="1">
        <f t="array" ref="F607">_xlfn.IFS(G607&lt;5000000, "Bronze", G607&lt;10000000, "Silver", G607&lt;20000000, "Gold", G607&gt;=20000000, "Diamond")</f>
        <v>Diamond</v>
      </c>
      <c r="G607" s="11">
        <f>SUMIF(Data_Donasi[Nama_Donatur],Data_Donasi[[#This Row],[Nama_Donatur]],Data_Donasi[Nominal])</f>
        <v>49000000</v>
      </c>
    </row>
    <row r="608" spans="1:7" x14ac:dyDescent="0.3">
      <c r="A608" s="14" t="s">
        <v>12</v>
      </c>
      <c r="B608" s="4" t="s">
        <v>112</v>
      </c>
      <c r="C608" s="4" t="s">
        <v>212</v>
      </c>
      <c r="D608" s="9">
        <v>45828</v>
      </c>
      <c r="E608" s="12">
        <v>250000</v>
      </c>
      <c r="F608" t="str" cm="1">
        <f t="array" ref="F608">_xlfn.IFS(G608&lt;5000000, "Bronze", G608&lt;10000000, "Silver", G608&lt;20000000, "Gold", G608&gt;=20000000, "Diamond")</f>
        <v>Silver</v>
      </c>
      <c r="G608" s="11">
        <f>SUMIF(Data_Donasi[Nama_Donatur],Data_Donasi[[#This Row],[Nama_Donatur]],Data_Donasi[Nominal])</f>
        <v>8900000</v>
      </c>
    </row>
    <row r="609" spans="1:7" x14ac:dyDescent="0.3">
      <c r="A609" s="14" t="s">
        <v>60</v>
      </c>
      <c r="B609" s="4" t="s">
        <v>160</v>
      </c>
      <c r="C609" s="4" t="s">
        <v>260</v>
      </c>
      <c r="D609" s="9">
        <v>45829</v>
      </c>
      <c r="E609" s="12">
        <v>200000</v>
      </c>
      <c r="F609" t="str" cm="1">
        <f t="array" ref="F609">_xlfn.IFS(G609&lt;5000000, "Bronze", G609&lt;10000000, "Silver", G609&lt;20000000, "Gold", G609&gt;=20000000, "Diamond")</f>
        <v>Silver</v>
      </c>
      <c r="G609" s="11">
        <f>SUMIF(Data_Donasi[Nama_Donatur],Data_Donasi[[#This Row],[Nama_Donatur]],Data_Donasi[Nominal])</f>
        <v>9150000</v>
      </c>
    </row>
    <row r="610" spans="1:7" x14ac:dyDescent="0.3">
      <c r="A610" s="14" t="s">
        <v>24</v>
      </c>
      <c r="B610" s="4" t="s">
        <v>124</v>
      </c>
      <c r="C610" s="4" t="s">
        <v>224</v>
      </c>
      <c r="D610" s="9">
        <v>45830</v>
      </c>
      <c r="E610" s="12">
        <v>2000000</v>
      </c>
      <c r="F610" t="str" cm="1">
        <f t="array" ref="F610">_xlfn.IFS(G610&lt;5000000, "Bronze", G610&lt;10000000, "Silver", G610&lt;20000000, "Gold", G610&gt;=20000000, "Diamond")</f>
        <v>Diamond</v>
      </c>
      <c r="G610" s="11">
        <f>SUMIF(Data_Donasi[Nama_Donatur],Data_Donasi[[#This Row],[Nama_Donatur]],Data_Donasi[Nominal])</f>
        <v>37700000</v>
      </c>
    </row>
    <row r="611" spans="1:7" x14ac:dyDescent="0.3">
      <c r="A611" s="14" t="s">
        <v>55</v>
      </c>
      <c r="B611" s="4" t="s">
        <v>155</v>
      </c>
      <c r="C611" s="4" t="s">
        <v>255</v>
      </c>
      <c r="D611" s="9">
        <v>45830</v>
      </c>
      <c r="E611" s="12">
        <v>50000</v>
      </c>
      <c r="F611" t="str" cm="1">
        <f t="array" ref="F611">_xlfn.IFS(G611&lt;5000000, "Bronze", G611&lt;10000000, "Silver", G611&lt;20000000, "Gold", G611&gt;=20000000, "Diamond")</f>
        <v>Diamond</v>
      </c>
      <c r="G611" s="11">
        <f>SUMIF(Data_Donasi[Nama_Donatur],Data_Donasi[[#This Row],[Nama_Donatur]],Data_Donasi[Nominal])</f>
        <v>50950000</v>
      </c>
    </row>
    <row r="612" spans="1:7" x14ac:dyDescent="0.3">
      <c r="A612" s="14" t="s">
        <v>18</v>
      </c>
      <c r="B612" s="4" t="s">
        <v>118</v>
      </c>
      <c r="C612" s="4" t="s">
        <v>218</v>
      </c>
      <c r="D612" s="9">
        <v>45830</v>
      </c>
      <c r="E612" s="12">
        <v>2000000</v>
      </c>
      <c r="F612" t="str" cm="1">
        <f t="array" ref="F612">_xlfn.IFS(G612&lt;5000000, "Bronze", G612&lt;10000000, "Silver", G612&lt;20000000, "Gold", G612&gt;=20000000, "Diamond")</f>
        <v>Diamond</v>
      </c>
      <c r="G612" s="11">
        <f>SUMIF(Data_Donasi[Nama_Donatur],Data_Donasi[[#This Row],[Nama_Donatur]],Data_Donasi[Nominal])</f>
        <v>30000000</v>
      </c>
    </row>
    <row r="613" spans="1:7" x14ac:dyDescent="0.3">
      <c r="A613" s="14" t="s">
        <v>51</v>
      </c>
      <c r="B613" s="4" t="s">
        <v>151</v>
      </c>
      <c r="C613" s="4" t="s">
        <v>251</v>
      </c>
      <c r="D613" s="9">
        <v>45830</v>
      </c>
      <c r="E613" s="12">
        <v>2000000</v>
      </c>
      <c r="F613" t="str" cm="1">
        <f t="array" ref="F613">_xlfn.IFS(G613&lt;5000000, "Bronze", G613&lt;10000000, "Silver", G613&lt;20000000, "Gold", G613&gt;=20000000, "Diamond")</f>
        <v>Diamond</v>
      </c>
      <c r="G613" s="11">
        <f>SUMIF(Data_Donasi[Nama_Donatur],Data_Donasi[[#This Row],[Nama_Donatur]],Data_Donasi[Nominal])</f>
        <v>46450000</v>
      </c>
    </row>
    <row r="614" spans="1:7" x14ac:dyDescent="0.3">
      <c r="A614" s="14" t="s">
        <v>78</v>
      </c>
      <c r="B614" s="4" t="s">
        <v>178</v>
      </c>
      <c r="C614" s="4" t="s">
        <v>278</v>
      </c>
      <c r="D614" s="9">
        <v>45830</v>
      </c>
      <c r="E614" s="12">
        <v>20000000</v>
      </c>
      <c r="F614" t="str" cm="1">
        <f t="array" ref="F614">_xlfn.IFS(G614&lt;5000000, "Bronze", G614&lt;10000000, "Silver", G614&lt;20000000, "Gold", G614&gt;=20000000, "Diamond")</f>
        <v>Diamond</v>
      </c>
      <c r="G614" s="11">
        <f>SUMIF(Data_Donasi[Nama_Donatur],Data_Donasi[[#This Row],[Nama_Donatur]],Data_Donasi[Nominal])</f>
        <v>115650000</v>
      </c>
    </row>
    <row r="615" spans="1:7" x14ac:dyDescent="0.3">
      <c r="A615" s="14" t="s">
        <v>98</v>
      </c>
      <c r="B615" s="4" t="s">
        <v>198</v>
      </c>
      <c r="C615" s="4" t="s">
        <v>298</v>
      </c>
      <c r="D615" s="9">
        <v>45830</v>
      </c>
      <c r="E615" s="12">
        <v>2000000</v>
      </c>
      <c r="F615" t="str" cm="1">
        <f t="array" ref="F615">_xlfn.IFS(G615&lt;5000000, "Bronze", G615&lt;10000000, "Silver", G615&lt;20000000, "Gold", G615&gt;=20000000, "Diamond")</f>
        <v>Diamond</v>
      </c>
      <c r="G615" s="11">
        <f>SUMIF(Data_Donasi[Nama_Donatur],Data_Donasi[[#This Row],[Nama_Donatur]],Data_Donasi[Nominal])</f>
        <v>36400000</v>
      </c>
    </row>
    <row r="616" spans="1:7" x14ac:dyDescent="0.3">
      <c r="A616" s="14" t="s">
        <v>46</v>
      </c>
      <c r="B616" s="4" t="s">
        <v>146</v>
      </c>
      <c r="C616" s="4" t="s">
        <v>246</v>
      </c>
      <c r="D616" s="9">
        <v>45830</v>
      </c>
      <c r="E616" s="12">
        <v>20000000</v>
      </c>
      <c r="F616" t="str" cm="1">
        <f t="array" ref="F616">_xlfn.IFS(G616&lt;5000000, "Bronze", G616&lt;10000000, "Silver", G616&lt;20000000, "Gold", G616&gt;=20000000, "Diamond")</f>
        <v>Diamond</v>
      </c>
      <c r="G616" s="11">
        <f>SUMIF(Data_Donasi[Nama_Donatur],Data_Donasi[[#This Row],[Nama_Donatur]],Data_Donasi[Nominal])</f>
        <v>48550000</v>
      </c>
    </row>
    <row r="617" spans="1:7" x14ac:dyDescent="0.3">
      <c r="A617" s="14" t="s">
        <v>76</v>
      </c>
      <c r="B617" s="4" t="s">
        <v>176</v>
      </c>
      <c r="C617" s="4" t="s">
        <v>276</v>
      </c>
      <c r="D617" s="9">
        <v>45831</v>
      </c>
      <c r="E617" s="12">
        <v>2000000</v>
      </c>
      <c r="F617" t="str" cm="1">
        <f t="array" ref="F617">_xlfn.IFS(G617&lt;5000000, "Bronze", G617&lt;10000000, "Silver", G617&lt;20000000, "Gold", G617&gt;=20000000, "Diamond")</f>
        <v>Diamond</v>
      </c>
      <c r="G617" s="11">
        <f>SUMIF(Data_Donasi[Nama_Donatur],Data_Donasi[[#This Row],[Nama_Donatur]],Data_Donasi[Nominal])</f>
        <v>37400000</v>
      </c>
    </row>
    <row r="618" spans="1:7" x14ac:dyDescent="0.3">
      <c r="A618" s="14" t="s">
        <v>103</v>
      </c>
      <c r="B618" s="4" t="s">
        <v>203</v>
      </c>
      <c r="C618" s="4" t="s">
        <v>303</v>
      </c>
      <c r="D618" s="9">
        <v>45832</v>
      </c>
      <c r="E618" s="12">
        <v>7000000</v>
      </c>
      <c r="F618" t="str" cm="1">
        <f t="array" ref="F618">_xlfn.IFS(G618&lt;5000000, "Bronze", G618&lt;10000000, "Silver", G618&lt;20000000, "Gold", G618&gt;=20000000, "Diamond")</f>
        <v>Diamond</v>
      </c>
      <c r="G618" s="11">
        <f>SUMIF(Data_Donasi[Nama_Donatur],Data_Donasi[[#This Row],[Nama_Donatur]],Data_Donasi[Nominal])</f>
        <v>50550000</v>
      </c>
    </row>
    <row r="619" spans="1:7" x14ac:dyDescent="0.3">
      <c r="A619" s="14" t="s">
        <v>10</v>
      </c>
      <c r="B619" s="4" t="s">
        <v>110</v>
      </c>
      <c r="C619" s="4" t="s">
        <v>210</v>
      </c>
      <c r="D619" s="9">
        <v>45832</v>
      </c>
      <c r="E619" s="12">
        <v>10000000</v>
      </c>
      <c r="F619" t="str" cm="1">
        <f t="array" ref="F619">_xlfn.IFS(G619&lt;5000000, "Bronze", G619&lt;10000000, "Silver", G619&lt;20000000, "Gold", G619&gt;=20000000, "Diamond")</f>
        <v>Diamond</v>
      </c>
      <c r="G619" s="11">
        <f>SUMIF(Data_Donasi[Nama_Donatur],Data_Donasi[[#This Row],[Nama_Donatur]],Data_Donasi[Nominal])</f>
        <v>36200000</v>
      </c>
    </row>
    <row r="620" spans="1:7" x14ac:dyDescent="0.3">
      <c r="A620" s="14" t="s">
        <v>8</v>
      </c>
      <c r="B620" s="4" t="s">
        <v>108</v>
      </c>
      <c r="C620" s="4" t="s">
        <v>208</v>
      </c>
      <c r="D620" s="9">
        <v>45832</v>
      </c>
      <c r="E620" s="12">
        <v>10000000</v>
      </c>
      <c r="F620" t="str" cm="1">
        <f t="array" ref="F620">_xlfn.IFS(G620&lt;5000000, "Bronze", G620&lt;10000000, "Silver", G620&lt;20000000, "Gold", G620&gt;=20000000, "Diamond")</f>
        <v>Diamond</v>
      </c>
      <c r="G620" s="11">
        <f>SUMIF(Data_Donasi[Nama_Donatur],Data_Donasi[[#This Row],[Nama_Donatur]],Data_Donasi[Nominal])</f>
        <v>31750000</v>
      </c>
    </row>
    <row r="621" spans="1:7" x14ac:dyDescent="0.3">
      <c r="A621" s="14" t="s">
        <v>19</v>
      </c>
      <c r="B621" s="4" t="s">
        <v>119</v>
      </c>
      <c r="C621" s="4" t="s">
        <v>219</v>
      </c>
      <c r="D621" s="9">
        <v>45832</v>
      </c>
      <c r="E621" s="12">
        <v>5000000</v>
      </c>
      <c r="F621" t="str" cm="1">
        <f t="array" ref="F621">_xlfn.IFS(G621&lt;5000000, "Bronze", G621&lt;10000000, "Silver", G621&lt;20000000, "Gold", G621&gt;=20000000, "Diamond")</f>
        <v>Diamond</v>
      </c>
      <c r="G621" s="11">
        <f>SUMIF(Data_Donasi[Nama_Donatur],Data_Donasi[[#This Row],[Nama_Donatur]],Data_Donasi[Nominal])</f>
        <v>63400000</v>
      </c>
    </row>
    <row r="622" spans="1:7" x14ac:dyDescent="0.3">
      <c r="A622" s="14" t="s">
        <v>81</v>
      </c>
      <c r="B622" s="4" t="s">
        <v>181</v>
      </c>
      <c r="C622" s="4" t="s">
        <v>281</v>
      </c>
      <c r="D622" s="9">
        <v>45832</v>
      </c>
      <c r="E622" s="12">
        <v>150000</v>
      </c>
      <c r="F622" t="str" cm="1">
        <f t="array" ref="F622">_xlfn.IFS(G622&lt;5000000, "Bronze", G622&lt;10000000, "Silver", G622&lt;20000000, "Gold", G622&gt;=20000000, "Diamond")</f>
        <v>Diamond</v>
      </c>
      <c r="G622" s="11">
        <f>SUMIF(Data_Donasi[Nama_Donatur],Data_Donasi[[#This Row],[Nama_Donatur]],Data_Donasi[Nominal])</f>
        <v>86000000</v>
      </c>
    </row>
    <row r="623" spans="1:7" x14ac:dyDescent="0.3">
      <c r="A623" s="14" t="s">
        <v>46</v>
      </c>
      <c r="B623" s="4" t="s">
        <v>146</v>
      </c>
      <c r="C623" s="4" t="s">
        <v>246</v>
      </c>
      <c r="D623" s="9">
        <v>45832</v>
      </c>
      <c r="E623" s="12">
        <v>2000000</v>
      </c>
      <c r="F623" t="str" cm="1">
        <f t="array" ref="F623">_xlfn.IFS(G623&lt;5000000, "Bronze", G623&lt;10000000, "Silver", G623&lt;20000000, "Gold", G623&gt;=20000000, "Diamond")</f>
        <v>Diamond</v>
      </c>
      <c r="G623" s="11">
        <f>SUMIF(Data_Donasi[Nama_Donatur],Data_Donasi[[#This Row],[Nama_Donatur]],Data_Donasi[Nominal])</f>
        <v>48550000</v>
      </c>
    </row>
    <row r="624" spans="1:7" x14ac:dyDescent="0.3">
      <c r="A624" s="14" t="s">
        <v>14</v>
      </c>
      <c r="B624" s="4" t="s">
        <v>114</v>
      </c>
      <c r="C624" s="4" t="s">
        <v>214</v>
      </c>
      <c r="D624" s="9">
        <v>45833</v>
      </c>
      <c r="E624" s="12">
        <v>50000</v>
      </c>
      <c r="F624" t="str" cm="1">
        <f t="array" ref="F624">_xlfn.IFS(G624&lt;5000000, "Bronze", G624&lt;10000000, "Silver", G624&lt;20000000, "Gold", G624&gt;=20000000, "Diamond")</f>
        <v>Diamond</v>
      </c>
      <c r="G624" s="11">
        <f>SUMIF(Data_Donasi[Nama_Donatur],Data_Donasi[[#This Row],[Nama_Donatur]],Data_Donasi[Nominal])</f>
        <v>73750000</v>
      </c>
    </row>
    <row r="625" spans="1:7" x14ac:dyDescent="0.3">
      <c r="A625" s="14" t="s">
        <v>30</v>
      </c>
      <c r="B625" s="4" t="s">
        <v>130</v>
      </c>
      <c r="C625" s="4" t="s">
        <v>230</v>
      </c>
      <c r="D625" s="9">
        <v>45833</v>
      </c>
      <c r="E625" s="12">
        <v>100000</v>
      </c>
      <c r="F625" t="str" cm="1">
        <f t="array" ref="F625">_xlfn.IFS(G625&lt;5000000, "Bronze", G625&lt;10000000, "Silver", G625&lt;20000000, "Gold", G625&gt;=20000000, "Diamond")</f>
        <v>Diamond</v>
      </c>
      <c r="G625" s="11">
        <f>SUMIF(Data_Donasi[Nama_Donatur],Data_Donasi[[#This Row],[Nama_Donatur]],Data_Donasi[Nominal])</f>
        <v>135600000</v>
      </c>
    </row>
    <row r="626" spans="1:7" x14ac:dyDescent="0.3">
      <c r="A626" s="14" t="s">
        <v>28</v>
      </c>
      <c r="B626" s="4" t="s">
        <v>128</v>
      </c>
      <c r="C626" s="4" t="s">
        <v>228</v>
      </c>
      <c r="D626" s="9">
        <v>45833</v>
      </c>
      <c r="E626" s="12">
        <v>500000</v>
      </c>
      <c r="F626" t="str" cm="1">
        <f t="array" ref="F626">_xlfn.IFS(G626&lt;5000000, "Bronze", G626&lt;10000000, "Silver", G626&lt;20000000, "Gold", G626&gt;=20000000, "Diamond")</f>
        <v>Diamond</v>
      </c>
      <c r="G626" s="11">
        <f>SUMIF(Data_Donasi[Nama_Donatur],Data_Donasi[[#This Row],[Nama_Donatur]],Data_Donasi[Nominal])</f>
        <v>26900000</v>
      </c>
    </row>
    <row r="627" spans="1:7" x14ac:dyDescent="0.3">
      <c r="A627" s="14" t="s">
        <v>40</v>
      </c>
      <c r="B627" s="4" t="s">
        <v>140</v>
      </c>
      <c r="C627" s="4" t="s">
        <v>240</v>
      </c>
      <c r="D627" s="9">
        <v>45833</v>
      </c>
      <c r="E627" s="12">
        <v>50000</v>
      </c>
      <c r="F627" t="str" cm="1">
        <f t="array" ref="F627">_xlfn.IFS(G627&lt;5000000, "Bronze", G627&lt;10000000, "Silver", G627&lt;20000000, "Gold", G627&gt;=20000000, "Diamond")</f>
        <v>Diamond</v>
      </c>
      <c r="G627" s="11">
        <f>SUMIF(Data_Donasi[Nama_Donatur],Data_Donasi[[#This Row],[Nama_Donatur]],Data_Donasi[Nominal])</f>
        <v>45950000</v>
      </c>
    </row>
    <row r="628" spans="1:7" x14ac:dyDescent="0.3">
      <c r="A628" s="14" t="s">
        <v>46</v>
      </c>
      <c r="B628" s="4" t="s">
        <v>146</v>
      </c>
      <c r="C628" s="4" t="s">
        <v>246</v>
      </c>
      <c r="D628" s="9">
        <v>45834</v>
      </c>
      <c r="E628" s="12">
        <v>1000000</v>
      </c>
      <c r="F628" t="str" cm="1">
        <f t="array" ref="F628">_xlfn.IFS(G628&lt;5000000, "Bronze", G628&lt;10000000, "Silver", G628&lt;20000000, "Gold", G628&gt;=20000000, "Diamond")</f>
        <v>Diamond</v>
      </c>
      <c r="G628" s="11">
        <f>SUMIF(Data_Donasi[Nama_Donatur],Data_Donasi[[#This Row],[Nama_Donatur]],Data_Donasi[Nominal])</f>
        <v>48550000</v>
      </c>
    </row>
    <row r="629" spans="1:7" x14ac:dyDescent="0.3">
      <c r="A629" s="14" t="s">
        <v>64</v>
      </c>
      <c r="B629" s="4" t="s">
        <v>164</v>
      </c>
      <c r="C629" s="4" t="s">
        <v>264</v>
      </c>
      <c r="D629" s="9">
        <v>45834</v>
      </c>
      <c r="E629" s="12">
        <v>3000000</v>
      </c>
      <c r="F629" t="str" cm="1">
        <f t="array" ref="F629">_xlfn.IFS(G629&lt;5000000, "Bronze", G629&lt;10000000, "Silver", G629&lt;20000000, "Gold", G629&gt;=20000000, "Diamond")</f>
        <v>Diamond</v>
      </c>
      <c r="G629" s="11">
        <f>SUMIF(Data_Donasi[Nama_Donatur],Data_Donasi[[#This Row],[Nama_Donatur]],Data_Donasi[Nominal])</f>
        <v>27750000</v>
      </c>
    </row>
    <row r="630" spans="1:7" x14ac:dyDescent="0.3">
      <c r="A630" s="14" t="s">
        <v>86</v>
      </c>
      <c r="B630" s="4" t="s">
        <v>186</v>
      </c>
      <c r="C630" s="4" t="s">
        <v>286</v>
      </c>
      <c r="D630" s="9">
        <v>45834</v>
      </c>
      <c r="E630" s="12">
        <v>150000</v>
      </c>
      <c r="F630" t="str" cm="1">
        <f t="array" ref="F630">_xlfn.IFS(G630&lt;5000000, "Bronze", G630&lt;10000000, "Silver", G630&lt;20000000, "Gold", G630&gt;=20000000, "Diamond")</f>
        <v>Diamond</v>
      </c>
      <c r="G630" s="11">
        <f>SUMIF(Data_Donasi[Nama_Donatur],Data_Donasi[[#This Row],[Nama_Donatur]],Data_Donasi[Nominal])</f>
        <v>50500000</v>
      </c>
    </row>
    <row r="631" spans="1:7" x14ac:dyDescent="0.3">
      <c r="A631" s="14" t="s">
        <v>78</v>
      </c>
      <c r="B631" s="4" t="s">
        <v>178</v>
      </c>
      <c r="C631" s="4" t="s">
        <v>278</v>
      </c>
      <c r="D631" s="9">
        <v>45834</v>
      </c>
      <c r="E631" s="12">
        <v>5000000</v>
      </c>
      <c r="F631" t="str" cm="1">
        <f t="array" ref="F631">_xlfn.IFS(G631&lt;5000000, "Bronze", G631&lt;10000000, "Silver", G631&lt;20000000, "Gold", G631&gt;=20000000, "Diamond")</f>
        <v>Diamond</v>
      </c>
      <c r="G631" s="11">
        <f>SUMIF(Data_Donasi[Nama_Donatur],Data_Donasi[[#This Row],[Nama_Donatur]],Data_Donasi[Nominal])</f>
        <v>115650000</v>
      </c>
    </row>
    <row r="632" spans="1:7" x14ac:dyDescent="0.3">
      <c r="A632" s="14" t="s">
        <v>16</v>
      </c>
      <c r="B632" s="4" t="s">
        <v>116</v>
      </c>
      <c r="C632" s="4" t="s">
        <v>216</v>
      </c>
      <c r="D632" s="9">
        <v>45835</v>
      </c>
      <c r="E632" s="12">
        <v>1000000</v>
      </c>
      <c r="F632" t="str" cm="1">
        <f t="array" ref="F632">_xlfn.IFS(G632&lt;5000000, "Bronze", G632&lt;10000000, "Silver", G632&lt;20000000, "Gold", G632&gt;=20000000, "Diamond")</f>
        <v>Diamond</v>
      </c>
      <c r="G632" s="11">
        <f>SUMIF(Data_Donasi[Nama_Donatur],Data_Donasi[[#This Row],[Nama_Donatur]],Data_Donasi[Nominal])</f>
        <v>48350000</v>
      </c>
    </row>
    <row r="633" spans="1:7" x14ac:dyDescent="0.3">
      <c r="A633" s="14" t="s">
        <v>14</v>
      </c>
      <c r="B633" s="4" t="s">
        <v>114</v>
      </c>
      <c r="C633" s="4" t="s">
        <v>214</v>
      </c>
      <c r="D633" s="9">
        <v>45835</v>
      </c>
      <c r="E633" s="12">
        <v>50000</v>
      </c>
      <c r="F633" t="str" cm="1">
        <f t="array" ref="F633">_xlfn.IFS(G633&lt;5000000, "Bronze", G633&lt;10000000, "Silver", G633&lt;20000000, "Gold", G633&gt;=20000000, "Diamond")</f>
        <v>Diamond</v>
      </c>
      <c r="G633" s="11">
        <f>SUMIF(Data_Donasi[Nama_Donatur],Data_Donasi[[#This Row],[Nama_Donatur]],Data_Donasi[Nominal])</f>
        <v>73750000</v>
      </c>
    </row>
    <row r="634" spans="1:7" x14ac:dyDescent="0.3">
      <c r="A634" s="14" t="s">
        <v>55</v>
      </c>
      <c r="B634" s="4" t="s">
        <v>155</v>
      </c>
      <c r="C634" s="4" t="s">
        <v>255</v>
      </c>
      <c r="D634" s="9">
        <v>45835</v>
      </c>
      <c r="E634" s="12">
        <v>500000</v>
      </c>
      <c r="F634" t="str" cm="1">
        <f t="array" ref="F634">_xlfn.IFS(G634&lt;5000000, "Bronze", G634&lt;10000000, "Silver", G634&lt;20000000, "Gold", G634&gt;=20000000, "Diamond")</f>
        <v>Diamond</v>
      </c>
      <c r="G634" s="11">
        <f>SUMIF(Data_Donasi[Nama_Donatur],Data_Donasi[[#This Row],[Nama_Donatur]],Data_Donasi[Nominal])</f>
        <v>50950000</v>
      </c>
    </row>
    <row r="635" spans="1:7" x14ac:dyDescent="0.3">
      <c r="A635" s="14" t="s">
        <v>78</v>
      </c>
      <c r="B635" s="4" t="s">
        <v>178</v>
      </c>
      <c r="C635" s="4" t="s">
        <v>278</v>
      </c>
      <c r="D635" s="9">
        <v>45835</v>
      </c>
      <c r="E635" s="12">
        <v>20000000</v>
      </c>
      <c r="F635" t="str" cm="1">
        <f t="array" ref="F635">_xlfn.IFS(G635&lt;5000000, "Bronze", G635&lt;10000000, "Silver", G635&lt;20000000, "Gold", G635&gt;=20000000, "Diamond")</f>
        <v>Diamond</v>
      </c>
      <c r="G635" s="11">
        <f>SUMIF(Data_Donasi[Nama_Donatur],Data_Donasi[[#This Row],[Nama_Donatur]],Data_Donasi[Nominal])</f>
        <v>115650000</v>
      </c>
    </row>
    <row r="636" spans="1:7" x14ac:dyDescent="0.3">
      <c r="A636" s="14" t="s">
        <v>38</v>
      </c>
      <c r="B636" s="4" t="s">
        <v>138</v>
      </c>
      <c r="C636" s="4" t="s">
        <v>238</v>
      </c>
      <c r="D636" s="9">
        <v>45835</v>
      </c>
      <c r="E636" s="12">
        <v>1000000</v>
      </c>
      <c r="F636" t="str" cm="1">
        <f t="array" ref="F636">_xlfn.IFS(G636&lt;5000000, "Bronze", G636&lt;10000000, "Silver", G636&lt;20000000, "Gold", G636&gt;=20000000, "Diamond")</f>
        <v>Diamond</v>
      </c>
      <c r="G636" s="11">
        <f>SUMIF(Data_Donasi[Nama_Donatur],Data_Donasi[[#This Row],[Nama_Donatur]],Data_Donasi[Nominal])</f>
        <v>35400000</v>
      </c>
    </row>
    <row r="637" spans="1:7" x14ac:dyDescent="0.3">
      <c r="A637" s="14" t="s">
        <v>11</v>
      </c>
      <c r="B637" s="4" t="s">
        <v>111</v>
      </c>
      <c r="C637" s="4" t="s">
        <v>211</v>
      </c>
      <c r="D637" s="9">
        <v>45835</v>
      </c>
      <c r="E637" s="12">
        <v>150000</v>
      </c>
      <c r="F637" t="str" cm="1">
        <f t="array" ref="F637">_xlfn.IFS(G637&lt;5000000, "Bronze", G637&lt;10000000, "Silver", G637&lt;20000000, "Gold", G637&gt;=20000000, "Diamond")</f>
        <v>Diamond</v>
      </c>
      <c r="G637" s="11">
        <f>SUMIF(Data_Donasi[Nama_Donatur],Data_Donasi[[#This Row],[Nama_Donatur]],Data_Donasi[Nominal])</f>
        <v>26800000</v>
      </c>
    </row>
    <row r="638" spans="1:7" x14ac:dyDescent="0.3">
      <c r="A638" s="14" t="s">
        <v>28</v>
      </c>
      <c r="B638" s="4" t="s">
        <v>128</v>
      </c>
      <c r="C638" s="4" t="s">
        <v>228</v>
      </c>
      <c r="D638" s="9">
        <v>45835</v>
      </c>
      <c r="E638" s="12">
        <v>3000000</v>
      </c>
      <c r="F638" t="str" cm="1">
        <f t="array" ref="F638">_xlfn.IFS(G638&lt;5000000, "Bronze", G638&lt;10000000, "Silver", G638&lt;20000000, "Gold", G638&gt;=20000000, "Diamond")</f>
        <v>Diamond</v>
      </c>
      <c r="G638" s="11">
        <f>SUMIF(Data_Donasi[Nama_Donatur],Data_Donasi[[#This Row],[Nama_Donatur]],Data_Donasi[Nominal])</f>
        <v>26900000</v>
      </c>
    </row>
    <row r="639" spans="1:7" x14ac:dyDescent="0.3">
      <c r="A639" s="14" t="s">
        <v>56</v>
      </c>
      <c r="B639" s="4" t="s">
        <v>156</v>
      </c>
      <c r="C639" s="4" t="s">
        <v>256</v>
      </c>
      <c r="D639" s="9">
        <v>45835</v>
      </c>
      <c r="E639" s="12">
        <v>150000</v>
      </c>
      <c r="F639" t="str" cm="1">
        <f t="array" ref="F639">_xlfn.IFS(G639&lt;5000000, "Bronze", G639&lt;10000000, "Silver", G639&lt;20000000, "Gold", G639&gt;=20000000, "Diamond")</f>
        <v>Diamond</v>
      </c>
      <c r="G639" s="11">
        <f>SUMIF(Data_Donasi[Nama_Donatur],Data_Donasi[[#This Row],[Nama_Donatur]],Data_Donasi[Nominal])</f>
        <v>49000000</v>
      </c>
    </row>
    <row r="640" spans="1:7" x14ac:dyDescent="0.3">
      <c r="A640" s="14" t="s">
        <v>21</v>
      </c>
      <c r="B640" s="4" t="s">
        <v>121</v>
      </c>
      <c r="C640" s="4" t="s">
        <v>221</v>
      </c>
      <c r="D640" s="9">
        <v>45836</v>
      </c>
      <c r="E640" s="12">
        <v>7000000</v>
      </c>
      <c r="F640" t="str" cm="1">
        <f t="array" ref="F640">_xlfn.IFS(G640&lt;5000000, "Bronze", G640&lt;10000000, "Silver", G640&lt;20000000, "Gold", G640&gt;=20000000, "Diamond")</f>
        <v>Diamond</v>
      </c>
      <c r="G640" s="11">
        <f>SUMIF(Data_Donasi[Nama_Donatur],Data_Donasi[[#This Row],[Nama_Donatur]],Data_Donasi[Nominal])</f>
        <v>61950000</v>
      </c>
    </row>
    <row r="641" spans="1:7" x14ac:dyDescent="0.3">
      <c r="A641" s="14" t="s">
        <v>43</v>
      </c>
      <c r="B641" s="4" t="s">
        <v>143</v>
      </c>
      <c r="C641" s="4" t="s">
        <v>243</v>
      </c>
      <c r="D641" s="9">
        <v>45836</v>
      </c>
      <c r="E641" s="12">
        <v>150000</v>
      </c>
      <c r="F641" t="str" cm="1">
        <f t="array" ref="F641">_xlfn.IFS(G641&lt;5000000, "Bronze", G641&lt;10000000, "Silver", G641&lt;20000000, "Gold", G641&gt;=20000000, "Diamond")</f>
        <v>Diamond</v>
      </c>
      <c r="G641" s="11">
        <f>SUMIF(Data_Donasi[Nama_Donatur],Data_Donasi[[#This Row],[Nama_Donatur]],Data_Donasi[Nominal])</f>
        <v>32400000</v>
      </c>
    </row>
    <row r="642" spans="1:7" x14ac:dyDescent="0.3">
      <c r="A642" s="14" t="s">
        <v>81</v>
      </c>
      <c r="B642" s="4" t="s">
        <v>181</v>
      </c>
      <c r="C642" s="4" t="s">
        <v>281</v>
      </c>
      <c r="D642" s="9">
        <v>45836</v>
      </c>
      <c r="E642" s="12">
        <v>200000</v>
      </c>
      <c r="F642" t="str" cm="1">
        <f t="array" ref="F642">_xlfn.IFS(G642&lt;5000000, "Bronze", G642&lt;10000000, "Silver", G642&lt;20000000, "Gold", G642&gt;=20000000, "Diamond")</f>
        <v>Diamond</v>
      </c>
      <c r="G642" s="11">
        <f>SUMIF(Data_Donasi[Nama_Donatur],Data_Donasi[[#This Row],[Nama_Donatur]],Data_Donasi[Nominal])</f>
        <v>86000000</v>
      </c>
    </row>
    <row r="643" spans="1:7" x14ac:dyDescent="0.3">
      <c r="A643" s="14" t="s">
        <v>62</v>
      </c>
      <c r="B643" s="4" t="s">
        <v>162</v>
      </c>
      <c r="C643" s="4" t="s">
        <v>262</v>
      </c>
      <c r="D643" s="9">
        <v>45836</v>
      </c>
      <c r="E643" s="12">
        <v>100000</v>
      </c>
      <c r="F643" t="str" cm="1">
        <f t="array" ref="F643">_xlfn.IFS(G643&lt;5000000, "Bronze", G643&lt;10000000, "Silver", G643&lt;20000000, "Gold", G643&gt;=20000000, "Diamond")</f>
        <v>Silver</v>
      </c>
      <c r="G643" s="11">
        <f>SUMIF(Data_Donasi[Nama_Donatur],Data_Donasi[[#This Row],[Nama_Donatur]],Data_Donasi[Nominal])</f>
        <v>7850000</v>
      </c>
    </row>
    <row r="644" spans="1:7" x14ac:dyDescent="0.3">
      <c r="A644" s="14" t="s">
        <v>19</v>
      </c>
      <c r="B644" s="4" t="s">
        <v>119</v>
      </c>
      <c r="C644" s="4" t="s">
        <v>219</v>
      </c>
      <c r="D644" s="9">
        <v>45836</v>
      </c>
      <c r="E644" s="12">
        <v>10000000</v>
      </c>
      <c r="F644" t="str" cm="1">
        <f t="array" ref="F644">_xlfn.IFS(G644&lt;5000000, "Bronze", G644&lt;10000000, "Silver", G644&lt;20000000, "Gold", G644&gt;=20000000, "Diamond")</f>
        <v>Diamond</v>
      </c>
      <c r="G644" s="11">
        <f>SUMIF(Data_Donasi[Nama_Donatur],Data_Donasi[[#This Row],[Nama_Donatur]],Data_Donasi[Nominal])</f>
        <v>63400000</v>
      </c>
    </row>
    <row r="645" spans="1:7" x14ac:dyDescent="0.3">
      <c r="A645" s="14" t="s">
        <v>22</v>
      </c>
      <c r="B645" s="4" t="s">
        <v>122</v>
      </c>
      <c r="C645" s="4" t="s">
        <v>222</v>
      </c>
      <c r="D645" s="9">
        <v>45838</v>
      </c>
      <c r="E645" s="12">
        <v>2000000</v>
      </c>
      <c r="F645" t="str" cm="1">
        <f t="array" ref="F645">_xlfn.IFS(G645&lt;5000000, "Bronze", G645&lt;10000000, "Silver", G645&lt;20000000, "Gold", G645&gt;=20000000, "Diamond")</f>
        <v>Diamond</v>
      </c>
      <c r="G645" s="11">
        <f>SUMIF(Data_Donasi[Nama_Donatur],Data_Donasi[[#This Row],[Nama_Donatur]],Data_Donasi[Nominal])</f>
        <v>67900000</v>
      </c>
    </row>
    <row r="646" spans="1:7" x14ac:dyDescent="0.3">
      <c r="A646" s="14" t="s">
        <v>51</v>
      </c>
      <c r="B646" s="4" t="s">
        <v>151</v>
      </c>
      <c r="C646" s="4" t="s">
        <v>251</v>
      </c>
      <c r="D646" s="9">
        <v>45838</v>
      </c>
      <c r="E646" s="12">
        <v>10000000</v>
      </c>
      <c r="F646" t="str" cm="1">
        <f t="array" ref="F646">_xlfn.IFS(G646&lt;5000000, "Bronze", G646&lt;10000000, "Silver", G646&lt;20000000, "Gold", G646&gt;=20000000, "Diamond")</f>
        <v>Diamond</v>
      </c>
      <c r="G646" s="11">
        <f>SUMIF(Data_Donasi[Nama_Donatur],Data_Donasi[[#This Row],[Nama_Donatur]],Data_Donasi[Nominal])</f>
        <v>46450000</v>
      </c>
    </row>
    <row r="647" spans="1:7" x14ac:dyDescent="0.3">
      <c r="A647" s="14" t="s">
        <v>25</v>
      </c>
      <c r="B647" s="4" t="s">
        <v>125</v>
      </c>
      <c r="C647" s="4" t="s">
        <v>225</v>
      </c>
      <c r="D647" s="9">
        <v>45839</v>
      </c>
      <c r="E647" s="12">
        <v>20000000</v>
      </c>
      <c r="F647" t="str" cm="1">
        <f t="array" ref="F647">_xlfn.IFS(G647&lt;5000000, "Bronze", G647&lt;10000000, "Silver", G647&lt;20000000, "Gold", G647&gt;=20000000, "Diamond")</f>
        <v>Diamond</v>
      </c>
      <c r="G647" s="11">
        <f>SUMIF(Data_Donasi[Nama_Donatur],Data_Donasi[[#This Row],[Nama_Donatur]],Data_Donasi[Nominal])</f>
        <v>41700000</v>
      </c>
    </row>
    <row r="648" spans="1:7" x14ac:dyDescent="0.3">
      <c r="A648" s="14" t="s">
        <v>89</v>
      </c>
      <c r="B648" s="4" t="s">
        <v>189</v>
      </c>
      <c r="C648" s="4" t="s">
        <v>289</v>
      </c>
      <c r="D648" s="9">
        <v>45839</v>
      </c>
      <c r="E648" s="12">
        <v>5000000</v>
      </c>
      <c r="F648" t="str" cm="1">
        <f t="array" ref="F648">_xlfn.IFS(G648&lt;5000000, "Bronze", G648&lt;10000000, "Silver", G648&lt;20000000, "Gold", G648&gt;=20000000, "Diamond")</f>
        <v>Diamond</v>
      </c>
      <c r="G648" s="11">
        <f>SUMIF(Data_Donasi[Nama_Donatur],Data_Donasi[[#This Row],[Nama_Donatur]],Data_Donasi[Nominal])</f>
        <v>28500000</v>
      </c>
    </row>
    <row r="649" spans="1:7" x14ac:dyDescent="0.3">
      <c r="A649" s="14" t="s">
        <v>22</v>
      </c>
      <c r="B649" s="4" t="s">
        <v>122</v>
      </c>
      <c r="C649" s="4" t="s">
        <v>222</v>
      </c>
      <c r="D649" s="9">
        <v>45840</v>
      </c>
      <c r="E649" s="12">
        <v>50000</v>
      </c>
      <c r="F649" t="str" cm="1">
        <f t="array" ref="F649">_xlfn.IFS(G649&lt;5000000, "Bronze", G649&lt;10000000, "Silver", G649&lt;20000000, "Gold", G649&gt;=20000000, "Diamond")</f>
        <v>Diamond</v>
      </c>
      <c r="G649" s="11">
        <f>SUMIF(Data_Donasi[Nama_Donatur],Data_Donasi[[#This Row],[Nama_Donatur]],Data_Donasi[Nominal])</f>
        <v>67900000</v>
      </c>
    </row>
    <row r="650" spans="1:7" x14ac:dyDescent="0.3">
      <c r="A650" s="14" t="s">
        <v>93</v>
      </c>
      <c r="B650" s="4" t="s">
        <v>193</v>
      </c>
      <c r="C650" s="4" t="s">
        <v>293</v>
      </c>
      <c r="D650" s="9">
        <v>45840</v>
      </c>
      <c r="E650" s="12">
        <v>50000</v>
      </c>
      <c r="F650" t="str" cm="1">
        <f t="array" ref="F650">_xlfn.IFS(G650&lt;5000000, "Bronze", G650&lt;10000000, "Silver", G650&lt;20000000, "Gold", G650&gt;=20000000, "Diamond")</f>
        <v>Gold</v>
      </c>
      <c r="G650" s="11">
        <f>SUMIF(Data_Donasi[Nama_Donatur],Data_Donasi[[#This Row],[Nama_Donatur]],Data_Donasi[Nominal])</f>
        <v>19400000</v>
      </c>
    </row>
    <row r="651" spans="1:7" x14ac:dyDescent="0.3">
      <c r="A651" s="14" t="s">
        <v>28</v>
      </c>
      <c r="B651" s="4" t="s">
        <v>128</v>
      </c>
      <c r="C651" s="4" t="s">
        <v>228</v>
      </c>
      <c r="D651" s="9">
        <v>45841</v>
      </c>
      <c r="E651" s="12">
        <v>250000</v>
      </c>
      <c r="F651" t="str" cm="1">
        <f t="array" ref="F651">_xlfn.IFS(G651&lt;5000000, "Bronze", G651&lt;10000000, "Silver", G651&lt;20000000, "Gold", G651&gt;=20000000, "Diamond")</f>
        <v>Diamond</v>
      </c>
      <c r="G651" s="11">
        <f>SUMIF(Data_Donasi[Nama_Donatur],Data_Donasi[[#This Row],[Nama_Donatur]],Data_Donasi[Nominal])</f>
        <v>26900000</v>
      </c>
    </row>
    <row r="652" spans="1:7" x14ac:dyDescent="0.3">
      <c r="A652" s="14" t="s">
        <v>89</v>
      </c>
      <c r="B652" s="4" t="s">
        <v>189</v>
      </c>
      <c r="C652" s="4" t="s">
        <v>289</v>
      </c>
      <c r="D652" s="9">
        <v>45841</v>
      </c>
      <c r="E652" s="12">
        <v>150000</v>
      </c>
      <c r="F652" t="str" cm="1">
        <f t="array" ref="F652">_xlfn.IFS(G652&lt;5000000, "Bronze", G652&lt;10000000, "Silver", G652&lt;20000000, "Gold", G652&gt;=20000000, "Diamond")</f>
        <v>Diamond</v>
      </c>
      <c r="G652" s="11">
        <f>SUMIF(Data_Donasi[Nama_Donatur],Data_Donasi[[#This Row],[Nama_Donatur]],Data_Donasi[Nominal])</f>
        <v>28500000</v>
      </c>
    </row>
    <row r="653" spans="1:7" x14ac:dyDescent="0.3">
      <c r="A653" s="14" t="s">
        <v>97</v>
      </c>
      <c r="B653" s="4" t="s">
        <v>197</v>
      </c>
      <c r="C653" s="4" t="s">
        <v>297</v>
      </c>
      <c r="D653" s="9">
        <v>45841</v>
      </c>
      <c r="E653" s="12">
        <v>20000000</v>
      </c>
      <c r="F653" t="str" cm="1">
        <f t="array" ref="F653">_xlfn.IFS(G653&lt;5000000, "Bronze", G653&lt;10000000, "Silver", G653&lt;20000000, "Gold", G653&gt;=20000000, "Diamond")</f>
        <v>Diamond</v>
      </c>
      <c r="G653" s="11">
        <f>SUMIF(Data_Donasi[Nama_Donatur],Data_Donasi[[#This Row],[Nama_Donatur]],Data_Donasi[Nominal])</f>
        <v>52700000</v>
      </c>
    </row>
    <row r="654" spans="1:7" x14ac:dyDescent="0.3">
      <c r="A654" s="14" t="s">
        <v>72</v>
      </c>
      <c r="B654" s="4" t="s">
        <v>172</v>
      </c>
      <c r="C654" s="4" t="s">
        <v>272</v>
      </c>
      <c r="D654" s="9">
        <v>45841</v>
      </c>
      <c r="E654" s="12">
        <v>100000</v>
      </c>
      <c r="F654" t="str" cm="1">
        <f t="array" ref="F654">_xlfn.IFS(G654&lt;5000000, "Bronze", G654&lt;10000000, "Silver", G654&lt;20000000, "Gold", G654&gt;=20000000, "Diamond")</f>
        <v>Diamond</v>
      </c>
      <c r="G654" s="11">
        <f>SUMIF(Data_Donasi[Nama_Donatur],Data_Donasi[[#This Row],[Nama_Donatur]],Data_Donasi[Nominal])</f>
        <v>53250000</v>
      </c>
    </row>
    <row r="655" spans="1:7" x14ac:dyDescent="0.3">
      <c r="A655" s="14" t="s">
        <v>50</v>
      </c>
      <c r="B655" s="4" t="s">
        <v>150</v>
      </c>
      <c r="C655" s="4" t="s">
        <v>250</v>
      </c>
      <c r="D655" s="9">
        <v>45841</v>
      </c>
      <c r="E655" s="12">
        <v>200000</v>
      </c>
      <c r="F655" t="str" cm="1">
        <f t="array" ref="F655">_xlfn.IFS(G655&lt;5000000, "Bronze", G655&lt;10000000, "Silver", G655&lt;20000000, "Gold", G655&gt;=20000000, "Diamond")</f>
        <v>Diamond</v>
      </c>
      <c r="G655" s="11">
        <f>SUMIF(Data_Donasi[Nama_Donatur],Data_Donasi[[#This Row],[Nama_Donatur]],Data_Donasi[Nominal])</f>
        <v>39700000</v>
      </c>
    </row>
    <row r="656" spans="1:7" x14ac:dyDescent="0.3">
      <c r="A656" s="14" t="s">
        <v>90</v>
      </c>
      <c r="B656" s="4" t="s">
        <v>190</v>
      </c>
      <c r="C656" s="4" t="s">
        <v>290</v>
      </c>
      <c r="D656" s="9">
        <v>45842</v>
      </c>
      <c r="E656" s="12">
        <v>100000</v>
      </c>
      <c r="F656" t="str" cm="1">
        <f t="array" ref="F656">_xlfn.IFS(G656&lt;5000000, "Bronze", G656&lt;10000000, "Silver", G656&lt;20000000, "Gold", G656&gt;=20000000, "Diamond")</f>
        <v>Diamond</v>
      </c>
      <c r="G656" s="11">
        <f>SUMIF(Data_Donasi[Nama_Donatur],Data_Donasi[[#This Row],[Nama_Donatur]],Data_Donasi[Nominal])</f>
        <v>52300000</v>
      </c>
    </row>
    <row r="657" spans="1:7" x14ac:dyDescent="0.3">
      <c r="A657" s="14" t="s">
        <v>25</v>
      </c>
      <c r="B657" s="4" t="s">
        <v>125</v>
      </c>
      <c r="C657" s="4" t="s">
        <v>225</v>
      </c>
      <c r="D657" s="9">
        <v>45842</v>
      </c>
      <c r="E657" s="12">
        <v>150000</v>
      </c>
      <c r="F657" t="str" cm="1">
        <f t="array" ref="F657">_xlfn.IFS(G657&lt;5000000, "Bronze", G657&lt;10000000, "Silver", G657&lt;20000000, "Gold", G657&gt;=20000000, "Diamond")</f>
        <v>Diamond</v>
      </c>
      <c r="G657" s="11">
        <f>SUMIF(Data_Donasi[Nama_Donatur],Data_Donasi[[#This Row],[Nama_Donatur]],Data_Donasi[Nominal])</f>
        <v>41700000</v>
      </c>
    </row>
    <row r="658" spans="1:7" x14ac:dyDescent="0.3">
      <c r="A658" s="14" t="s">
        <v>49</v>
      </c>
      <c r="B658" s="4" t="s">
        <v>149</v>
      </c>
      <c r="C658" s="4" t="s">
        <v>249</v>
      </c>
      <c r="D658" s="9">
        <v>45842</v>
      </c>
      <c r="E658" s="12">
        <v>250000</v>
      </c>
      <c r="F658" t="str" cm="1">
        <f t="array" ref="F658">_xlfn.IFS(G658&lt;5000000, "Bronze", G658&lt;10000000, "Silver", G658&lt;20000000, "Gold", G658&gt;=20000000, "Diamond")</f>
        <v>Bronze</v>
      </c>
      <c r="G658" s="11">
        <f>SUMIF(Data_Donasi[Nama_Donatur],Data_Donasi[[#This Row],[Nama_Donatur]],Data_Donasi[Nominal])</f>
        <v>3050000</v>
      </c>
    </row>
    <row r="659" spans="1:7" x14ac:dyDescent="0.3">
      <c r="A659" s="14" t="s">
        <v>93</v>
      </c>
      <c r="B659" s="4" t="s">
        <v>193</v>
      </c>
      <c r="C659" s="4" t="s">
        <v>293</v>
      </c>
      <c r="D659" s="9">
        <v>45842</v>
      </c>
      <c r="E659" s="12">
        <v>500000</v>
      </c>
      <c r="F659" t="str" cm="1">
        <f t="array" ref="F659">_xlfn.IFS(G659&lt;5000000, "Bronze", G659&lt;10000000, "Silver", G659&lt;20000000, "Gold", G659&gt;=20000000, "Diamond")</f>
        <v>Gold</v>
      </c>
      <c r="G659" s="11">
        <f>SUMIF(Data_Donasi[Nama_Donatur],Data_Donasi[[#This Row],[Nama_Donatur]],Data_Donasi[Nominal])</f>
        <v>19400000</v>
      </c>
    </row>
    <row r="660" spans="1:7" x14ac:dyDescent="0.3">
      <c r="A660" s="14" t="s">
        <v>82</v>
      </c>
      <c r="B660" s="4" t="s">
        <v>182</v>
      </c>
      <c r="C660" s="4" t="s">
        <v>282</v>
      </c>
      <c r="D660" s="9">
        <v>45842</v>
      </c>
      <c r="E660" s="12">
        <v>250000</v>
      </c>
      <c r="F660" t="str" cm="1">
        <f t="array" ref="F660">_xlfn.IFS(G660&lt;5000000, "Bronze", G660&lt;10000000, "Silver", G660&lt;20000000, "Gold", G660&gt;=20000000, "Diamond")</f>
        <v>Diamond</v>
      </c>
      <c r="G660" s="11">
        <f>SUMIF(Data_Donasi[Nama_Donatur],Data_Donasi[[#This Row],[Nama_Donatur]],Data_Donasi[Nominal])</f>
        <v>63700000</v>
      </c>
    </row>
    <row r="661" spans="1:7" x14ac:dyDescent="0.3">
      <c r="A661" s="14" t="s">
        <v>9</v>
      </c>
      <c r="B661" s="4" t="s">
        <v>109</v>
      </c>
      <c r="C661" s="4" t="s">
        <v>209</v>
      </c>
      <c r="D661" s="9">
        <v>45843</v>
      </c>
      <c r="E661" s="12">
        <v>10000000</v>
      </c>
      <c r="F661" t="str" cm="1">
        <f t="array" ref="F661">_xlfn.IFS(G661&lt;5000000, "Bronze", G661&lt;10000000, "Silver", G661&lt;20000000, "Gold", G661&gt;=20000000, "Diamond")</f>
        <v>Diamond</v>
      </c>
      <c r="G661" s="11">
        <f>SUMIF(Data_Donasi[Nama_Donatur],Data_Donasi[[#This Row],[Nama_Donatur]],Data_Donasi[Nominal])</f>
        <v>24900000</v>
      </c>
    </row>
    <row r="662" spans="1:7" x14ac:dyDescent="0.3">
      <c r="A662" s="14" t="s">
        <v>37</v>
      </c>
      <c r="B662" s="4" t="s">
        <v>137</v>
      </c>
      <c r="C662" s="4" t="s">
        <v>237</v>
      </c>
      <c r="D662" s="9">
        <v>45843</v>
      </c>
      <c r="E662" s="12">
        <v>10000000</v>
      </c>
      <c r="F662" t="str" cm="1">
        <f t="array" ref="F662">_xlfn.IFS(G662&lt;5000000, "Bronze", G662&lt;10000000, "Silver", G662&lt;20000000, "Gold", G662&gt;=20000000, "Diamond")</f>
        <v>Diamond</v>
      </c>
      <c r="G662" s="11">
        <f>SUMIF(Data_Donasi[Nama_Donatur],Data_Donasi[[#This Row],[Nama_Donatur]],Data_Donasi[Nominal])</f>
        <v>26200000</v>
      </c>
    </row>
    <row r="663" spans="1:7" x14ac:dyDescent="0.3">
      <c r="A663" s="14" t="s">
        <v>16</v>
      </c>
      <c r="B663" s="4" t="s">
        <v>116</v>
      </c>
      <c r="C663" s="4" t="s">
        <v>216</v>
      </c>
      <c r="D663" s="9">
        <v>45843</v>
      </c>
      <c r="E663" s="12">
        <v>3000000</v>
      </c>
      <c r="F663" t="str" cm="1">
        <f t="array" ref="F663">_xlfn.IFS(G663&lt;5000000, "Bronze", G663&lt;10000000, "Silver", G663&lt;20000000, "Gold", G663&gt;=20000000, "Diamond")</f>
        <v>Diamond</v>
      </c>
      <c r="G663" s="11">
        <f>SUMIF(Data_Donasi[Nama_Donatur],Data_Donasi[[#This Row],[Nama_Donatur]],Data_Donasi[Nominal])</f>
        <v>48350000</v>
      </c>
    </row>
    <row r="664" spans="1:7" x14ac:dyDescent="0.3">
      <c r="A664" s="14" t="s">
        <v>36</v>
      </c>
      <c r="B664" s="4" t="s">
        <v>136</v>
      </c>
      <c r="C664" s="4" t="s">
        <v>236</v>
      </c>
      <c r="D664" s="9">
        <v>45844</v>
      </c>
      <c r="E664" s="12">
        <v>50000</v>
      </c>
      <c r="F664" t="str" cm="1">
        <f t="array" ref="F664">_xlfn.IFS(G664&lt;5000000, "Bronze", G664&lt;10000000, "Silver", G664&lt;20000000, "Gold", G664&gt;=20000000, "Diamond")</f>
        <v>Diamond</v>
      </c>
      <c r="G664" s="11">
        <f>SUMIF(Data_Donasi[Nama_Donatur],Data_Donasi[[#This Row],[Nama_Donatur]],Data_Donasi[Nominal])</f>
        <v>25500000</v>
      </c>
    </row>
    <row r="665" spans="1:7" x14ac:dyDescent="0.3">
      <c r="A665" s="14" t="s">
        <v>98</v>
      </c>
      <c r="B665" s="4" t="s">
        <v>198</v>
      </c>
      <c r="C665" s="4" t="s">
        <v>298</v>
      </c>
      <c r="D665" s="9">
        <v>45844</v>
      </c>
      <c r="E665" s="12">
        <v>1000000</v>
      </c>
      <c r="F665" t="str" cm="1">
        <f t="array" ref="F665">_xlfn.IFS(G665&lt;5000000, "Bronze", G665&lt;10000000, "Silver", G665&lt;20000000, "Gold", G665&gt;=20000000, "Diamond")</f>
        <v>Diamond</v>
      </c>
      <c r="G665" s="11">
        <f>SUMIF(Data_Donasi[Nama_Donatur],Data_Donasi[[#This Row],[Nama_Donatur]],Data_Donasi[Nominal])</f>
        <v>36400000</v>
      </c>
    </row>
    <row r="666" spans="1:7" x14ac:dyDescent="0.3">
      <c r="A666" s="14" t="s">
        <v>15</v>
      </c>
      <c r="B666" s="4" t="s">
        <v>115</v>
      </c>
      <c r="C666" s="4" t="s">
        <v>215</v>
      </c>
      <c r="D666" s="9">
        <v>45844</v>
      </c>
      <c r="E666" s="12">
        <v>2000000</v>
      </c>
      <c r="F666" t="str" cm="1">
        <f t="array" ref="F666">_xlfn.IFS(G666&lt;5000000, "Bronze", G666&lt;10000000, "Silver", G666&lt;20000000, "Gold", G666&gt;=20000000, "Diamond")</f>
        <v>Diamond</v>
      </c>
      <c r="G666" s="11">
        <f>SUMIF(Data_Donasi[Nama_Donatur],Data_Donasi[[#This Row],[Nama_Donatur]],Data_Donasi[Nominal])</f>
        <v>84750000</v>
      </c>
    </row>
    <row r="667" spans="1:7" x14ac:dyDescent="0.3">
      <c r="A667" s="14" t="s">
        <v>28</v>
      </c>
      <c r="B667" s="4" t="s">
        <v>128</v>
      </c>
      <c r="C667" s="4" t="s">
        <v>228</v>
      </c>
      <c r="D667" s="9">
        <v>45844</v>
      </c>
      <c r="E667" s="12">
        <v>1000000</v>
      </c>
      <c r="F667" t="str" cm="1">
        <f t="array" ref="F667">_xlfn.IFS(G667&lt;5000000, "Bronze", G667&lt;10000000, "Silver", G667&lt;20000000, "Gold", G667&gt;=20000000, "Diamond")</f>
        <v>Diamond</v>
      </c>
      <c r="G667" s="11">
        <f>SUMIF(Data_Donasi[Nama_Donatur],Data_Donasi[[#This Row],[Nama_Donatur]],Data_Donasi[Nominal])</f>
        <v>26900000</v>
      </c>
    </row>
    <row r="668" spans="1:7" x14ac:dyDescent="0.3">
      <c r="A668" s="14" t="s">
        <v>82</v>
      </c>
      <c r="B668" s="4" t="s">
        <v>182</v>
      </c>
      <c r="C668" s="4" t="s">
        <v>282</v>
      </c>
      <c r="D668" s="9">
        <v>45844</v>
      </c>
      <c r="E668" s="12">
        <v>10000000</v>
      </c>
      <c r="F668" t="str" cm="1">
        <f t="array" ref="F668">_xlfn.IFS(G668&lt;5000000, "Bronze", G668&lt;10000000, "Silver", G668&lt;20000000, "Gold", G668&gt;=20000000, "Diamond")</f>
        <v>Diamond</v>
      </c>
      <c r="G668" s="11">
        <f>SUMIF(Data_Donasi[Nama_Donatur],Data_Donasi[[#This Row],[Nama_Donatur]],Data_Donasi[Nominal])</f>
        <v>63700000</v>
      </c>
    </row>
    <row r="669" spans="1:7" x14ac:dyDescent="0.3">
      <c r="A669" s="14" t="s">
        <v>77</v>
      </c>
      <c r="B669" s="4" t="s">
        <v>177</v>
      </c>
      <c r="C669" s="4" t="s">
        <v>277</v>
      </c>
      <c r="D669" s="9">
        <v>45845</v>
      </c>
      <c r="E669" s="12">
        <v>10000000</v>
      </c>
      <c r="F669" t="str" cm="1">
        <f t="array" ref="F669">_xlfn.IFS(G669&lt;5000000, "Bronze", G669&lt;10000000, "Silver", G669&lt;20000000, "Gold", G669&gt;=20000000, "Diamond")</f>
        <v>Diamond</v>
      </c>
      <c r="G669" s="11">
        <f>SUMIF(Data_Donasi[Nama_Donatur],Data_Donasi[[#This Row],[Nama_Donatur]],Data_Donasi[Nominal])</f>
        <v>47350000</v>
      </c>
    </row>
    <row r="670" spans="1:7" x14ac:dyDescent="0.3">
      <c r="A670" s="14" t="s">
        <v>34</v>
      </c>
      <c r="B670" s="4" t="s">
        <v>134</v>
      </c>
      <c r="C670" s="4" t="s">
        <v>234</v>
      </c>
      <c r="D670" s="9">
        <v>45845</v>
      </c>
      <c r="E670" s="12">
        <v>2000000</v>
      </c>
      <c r="F670" t="str" cm="1">
        <f t="array" ref="F670">_xlfn.IFS(G670&lt;5000000, "Bronze", G670&lt;10000000, "Silver", G670&lt;20000000, "Gold", G670&gt;=20000000, "Diamond")</f>
        <v>Gold</v>
      </c>
      <c r="G670" s="11">
        <f>SUMIF(Data_Donasi[Nama_Donatur],Data_Donasi[[#This Row],[Nama_Donatur]],Data_Donasi[Nominal])</f>
        <v>18400000</v>
      </c>
    </row>
    <row r="671" spans="1:7" x14ac:dyDescent="0.3">
      <c r="A671" s="14" t="s">
        <v>86</v>
      </c>
      <c r="B671" s="4" t="s">
        <v>186</v>
      </c>
      <c r="C671" s="4" t="s">
        <v>286</v>
      </c>
      <c r="D671" s="9">
        <v>45845</v>
      </c>
      <c r="E671" s="12">
        <v>50000</v>
      </c>
      <c r="F671" t="str" cm="1">
        <f t="array" ref="F671">_xlfn.IFS(G671&lt;5000000, "Bronze", G671&lt;10000000, "Silver", G671&lt;20000000, "Gold", G671&gt;=20000000, "Diamond")</f>
        <v>Diamond</v>
      </c>
      <c r="G671" s="11">
        <f>SUMIF(Data_Donasi[Nama_Donatur],Data_Donasi[[#This Row],[Nama_Donatur]],Data_Donasi[Nominal])</f>
        <v>50500000</v>
      </c>
    </row>
    <row r="672" spans="1:7" x14ac:dyDescent="0.3">
      <c r="A672" s="14" t="s">
        <v>80</v>
      </c>
      <c r="B672" s="4" t="s">
        <v>180</v>
      </c>
      <c r="C672" s="4" t="s">
        <v>280</v>
      </c>
      <c r="D672" s="9">
        <v>45845</v>
      </c>
      <c r="E672" s="12">
        <v>5000000</v>
      </c>
      <c r="F672" t="str" cm="1">
        <f t="array" ref="F672">_xlfn.IFS(G672&lt;5000000, "Bronze", G672&lt;10000000, "Silver", G672&lt;20000000, "Gold", G672&gt;=20000000, "Diamond")</f>
        <v>Diamond</v>
      </c>
      <c r="G672" s="11">
        <f>SUMIF(Data_Donasi[Nama_Donatur],Data_Donasi[[#This Row],[Nama_Donatur]],Data_Donasi[Nominal])</f>
        <v>57850000</v>
      </c>
    </row>
    <row r="673" spans="1:7" x14ac:dyDescent="0.3">
      <c r="A673" s="14" t="s">
        <v>20</v>
      </c>
      <c r="B673" s="4" t="s">
        <v>120</v>
      </c>
      <c r="C673" s="4" t="s">
        <v>220</v>
      </c>
      <c r="D673" s="9">
        <v>45845</v>
      </c>
      <c r="E673" s="12">
        <v>250000</v>
      </c>
      <c r="F673" t="str" cm="1">
        <f t="array" ref="F673">_xlfn.IFS(G673&lt;5000000, "Bronze", G673&lt;10000000, "Silver", G673&lt;20000000, "Gold", G673&gt;=20000000, "Diamond")</f>
        <v>Diamond</v>
      </c>
      <c r="G673" s="11">
        <f>SUMIF(Data_Donasi[Nama_Donatur],Data_Donasi[[#This Row],[Nama_Donatur]],Data_Donasi[Nominal])</f>
        <v>25800000</v>
      </c>
    </row>
    <row r="674" spans="1:7" x14ac:dyDescent="0.3">
      <c r="A674" s="14" t="s">
        <v>68</v>
      </c>
      <c r="B674" s="4" t="s">
        <v>168</v>
      </c>
      <c r="C674" s="4" t="s">
        <v>268</v>
      </c>
      <c r="D674" s="9">
        <v>45846</v>
      </c>
      <c r="E674" s="12">
        <v>50000</v>
      </c>
      <c r="F674" t="str" cm="1">
        <f t="array" ref="F674">_xlfn.IFS(G674&lt;5000000, "Bronze", G674&lt;10000000, "Silver", G674&lt;20000000, "Gold", G674&gt;=20000000, "Diamond")</f>
        <v>Diamond</v>
      </c>
      <c r="G674" s="11">
        <f>SUMIF(Data_Donasi[Nama_Donatur],Data_Donasi[[#This Row],[Nama_Donatur]],Data_Donasi[Nominal])</f>
        <v>24500000</v>
      </c>
    </row>
    <row r="675" spans="1:7" x14ac:dyDescent="0.3">
      <c r="A675" s="14" t="s">
        <v>57</v>
      </c>
      <c r="B675" s="4" t="s">
        <v>157</v>
      </c>
      <c r="C675" s="4" t="s">
        <v>257</v>
      </c>
      <c r="D675" s="9">
        <v>45846</v>
      </c>
      <c r="E675" s="12">
        <v>5000000</v>
      </c>
      <c r="F675" t="str" cm="1">
        <f t="array" ref="F675">_xlfn.IFS(G675&lt;5000000, "Bronze", G675&lt;10000000, "Silver", G675&lt;20000000, "Gold", G675&gt;=20000000, "Diamond")</f>
        <v>Diamond</v>
      </c>
      <c r="G675" s="11">
        <f>SUMIF(Data_Donasi[Nama_Donatur],Data_Donasi[[#This Row],[Nama_Donatur]],Data_Donasi[Nominal])</f>
        <v>30750000</v>
      </c>
    </row>
    <row r="676" spans="1:7" x14ac:dyDescent="0.3">
      <c r="A676" s="14" t="s">
        <v>43</v>
      </c>
      <c r="B676" s="4" t="s">
        <v>143</v>
      </c>
      <c r="C676" s="4" t="s">
        <v>243</v>
      </c>
      <c r="D676" s="9">
        <v>45846</v>
      </c>
      <c r="E676" s="12">
        <v>200000</v>
      </c>
      <c r="F676" t="str" cm="1">
        <f t="array" ref="F676">_xlfn.IFS(G676&lt;5000000, "Bronze", G676&lt;10000000, "Silver", G676&lt;20000000, "Gold", G676&gt;=20000000, "Diamond")</f>
        <v>Diamond</v>
      </c>
      <c r="G676" s="11">
        <f>SUMIF(Data_Donasi[Nama_Donatur],Data_Donasi[[#This Row],[Nama_Donatur]],Data_Donasi[Nominal])</f>
        <v>32400000</v>
      </c>
    </row>
    <row r="677" spans="1:7" x14ac:dyDescent="0.3">
      <c r="A677" s="14" t="s">
        <v>50</v>
      </c>
      <c r="B677" s="4" t="s">
        <v>150</v>
      </c>
      <c r="C677" s="4" t="s">
        <v>250</v>
      </c>
      <c r="D677" s="9">
        <v>45847</v>
      </c>
      <c r="E677" s="12">
        <v>7000000</v>
      </c>
      <c r="F677" t="str" cm="1">
        <f t="array" ref="F677">_xlfn.IFS(G677&lt;5000000, "Bronze", G677&lt;10000000, "Silver", G677&lt;20000000, "Gold", G677&gt;=20000000, "Diamond")</f>
        <v>Diamond</v>
      </c>
      <c r="G677" s="11">
        <f>SUMIF(Data_Donasi[Nama_Donatur],Data_Donasi[[#This Row],[Nama_Donatur]],Data_Donasi[Nominal])</f>
        <v>39700000</v>
      </c>
    </row>
    <row r="678" spans="1:7" x14ac:dyDescent="0.3">
      <c r="A678" s="14" t="s">
        <v>9</v>
      </c>
      <c r="B678" s="4" t="s">
        <v>109</v>
      </c>
      <c r="C678" s="4" t="s">
        <v>209</v>
      </c>
      <c r="D678" s="9">
        <v>45847</v>
      </c>
      <c r="E678" s="12">
        <v>2000000</v>
      </c>
      <c r="F678" t="str" cm="1">
        <f t="array" ref="F678">_xlfn.IFS(G678&lt;5000000, "Bronze", G678&lt;10000000, "Silver", G678&lt;20000000, "Gold", G678&gt;=20000000, "Diamond")</f>
        <v>Diamond</v>
      </c>
      <c r="G678" s="11">
        <f>SUMIF(Data_Donasi[Nama_Donatur],Data_Donasi[[#This Row],[Nama_Donatur]],Data_Donasi[Nominal])</f>
        <v>24900000</v>
      </c>
    </row>
    <row r="679" spans="1:7" x14ac:dyDescent="0.3">
      <c r="A679" s="14" t="s">
        <v>64</v>
      </c>
      <c r="B679" s="4" t="s">
        <v>164</v>
      </c>
      <c r="C679" s="4" t="s">
        <v>264</v>
      </c>
      <c r="D679" s="9">
        <v>45848</v>
      </c>
      <c r="E679" s="12">
        <v>250000</v>
      </c>
      <c r="F679" t="str" cm="1">
        <f t="array" ref="F679">_xlfn.IFS(G679&lt;5000000, "Bronze", G679&lt;10000000, "Silver", G679&lt;20000000, "Gold", G679&gt;=20000000, "Diamond")</f>
        <v>Diamond</v>
      </c>
      <c r="G679" s="11">
        <f>SUMIF(Data_Donasi[Nama_Donatur],Data_Donasi[[#This Row],[Nama_Donatur]],Data_Donasi[Nominal])</f>
        <v>27750000</v>
      </c>
    </row>
    <row r="680" spans="1:7" x14ac:dyDescent="0.3">
      <c r="A680" s="14" t="s">
        <v>26</v>
      </c>
      <c r="B680" s="4" t="s">
        <v>126</v>
      </c>
      <c r="C680" s="4" t="s">
        <v>226</v>
      </c>
      <c r="D680" s="9">
        <v>45848</v>
      </c>
      <c r="E680" s="12">
        <v>200000</v>
      </c>
      <c r="F680" t="str" cm="1">
        <f t="array" ref="F680">_xlfn.IFS(G680&lt;5000000, "Bronze", G680&lt;10000000, "Silver", G680&lt;20000000, "Gold", G680&gt;=20000000, "Diamond")</f>
        <v>Diamond</v>
      </c>
      <c r="G680" s="11">
        <f>SUMIF(Data_Donasi[Nama_Donatur],Data_Donasi[[#This Row],[Nama_Donatur]],Data_Donasi[Nominal])</f>
        <v>46450000</v>
      </c>
    </row>
    <row r="681" spans="1:7" x14ac:dyDescent="0.3">
      <c r="A681" s="14" t="s">
        <v>44</v>
      </c>
      <c r="B681" s="4" t="s">
        <v>144</v>
      </c>
      <c r="C681" s="4" t="s">
        <v>244</v>
      </c>
      <c r="D681" s="9">
        <v>45848</v>
      </c>
      <c r="E681" s="12">
        <v>5000000</v>
      </c>
      <c r="F681" t="str" cm="1">
        <f t="array" ref="F681">_xlfn.IFS(G681&lt;5000000, "Bronze", G681&lt;10000000, "Silver", G681&lt;20000000, "Gold", G681&gt;=20000000, "Diamond")</f>
        <v>Diamond</v>
      </c>
      <c r="G681" s="11">
        <f>SUMIF(Data_Donasi[Nama_Donatur],Data_Donasi[[#This Row],[Nama_Donatur]],Data_Donasi[Nominal])</f>
        <v>66400000</v>
      </c>
    </row>
    <row r="682" spans="1:7" x14ac:dyDescent="0.3">
      <c r="A682" s="14" t="s">
        <v>50</v>
      </c>
      <c r="B682" s="4" t="s">
        <v>150</v>
      </c>
      <c r="C682" s="4" t="s">
        <v>250</v>
      </c>
      <c r="D682" s="9">
        <v>45849</v>
      </c>
      <c r="E682" s="12">
        <v>100000</v>
      </c>
      <c r="F682" t="str" cm="1">
        <f t="array" ref="F682">_xlfn.IFS(G682&lt;5000000, "Bronze", G682&lt;10000000, "Silver", G682&lt;20000000, "Gold", G682&gt;=20000000, "Diamond")</f>
        <v>Diamond</v>
      </c>
      <c r="G682" s="11">
        <f>SUMIF(Data_Donasi[Nama_Donatur],Data_Donasi[[#This Row],[Nama_Donatur]],Data_Donasi[Nominal])</f>
        <v>39700000</v>
      </c>
    </row>
    <row r="683" spans="1:7" x14ac:dyDescent="0.3">
      <c r="A683" s="14" t="s">
        <v>93</v>
      </c>
      <c r="B683" s="4" t="s">
        <v>193</v>
      </c>
      <c r="C683" s="4" t="s">
        <v>293</v>
      </c>
      <c r="D683" s="9">
        <v>45849</v>
      </c>
      <c r="E683" s="12">
        <v>50000</v>
      </c>
      <c r="F683" t="str" cm="1">
        <f t="array" ref="F683">_xlfn.IFS(G683&lt;5000000, "Bronze", G683&lt;10000000, "Silver", G683&lt;20000000, "Gold", G683&gt;=20000000, "Diamond")</f>
        <v>Gold</v>
      </c>
      <c r="G683" s="11">
        <f>SUMIF(Data_Donasi[Nama_Donatur],Data_Donasi[[#This Row],[Nama_Donatur]],Data_Donasi[Nominal])</f>
        <v>19400000</v>
      </c>
    </row>
    <row r="684" spans="1:7" x14ac:dyDescent="0.3">
      <c r="A684" s="14" t="s">
        <v>67</v>
      </c>
      <c r="B684" s="4" t="s">
        <v>167</v>
      </c>
      <c r="C684" s="4" t="s">
        <v>267</v>
      </c>
      <c r="D684" s="9">
        <v>45849</v>
      </c>
      <c r="E684" s="12">
        <v>10000000</v>
      </c>
      <c r="F684" t="str" cm="1">
        <f t="array" ref="F684">_xlfn.IFS(G684&lt;5000000, "Bronze", G684&lt;10000000, "Silver", G684&lt;20000000, "Gold", G684&gt;=20000000, "Diamond")</f>
        <v>Diamond</v>
      </c>
      <c r="G684" s="11">
        <f>SUMIF(Data_Donasi[Nama_Donatur],Data_Donasi[[#This Row],[Nama_Donatur]],Data_Donasi[Nominal])</f>
        <v>28450000</v>
      </c>
    </row>
    <row r="685" spans="1:7" x14ac:dyDescent="0.3">
      <c r="A685" s="14" t="s">
        <v>37</v>
      </c>
      <c r="B685" s="4" t="s">
        <v>137</v>
      </c>
      <c r="C685" s="4" t="s">
        <v>237</v>
      </c>
      <c r="D685" s="9">
        <v>45849</v>
      </c>
      <c r="E685" s="12">
        <v>2000000</v>
      </c>
      <c r="F685" t="str" cm="1">
        <f t="array" ref="F685">_xlfn.IFS(G685&lt;5000000, "Bronze", G685&lt;10000000, "Silver", G685&lt;20000000, "Gold", G685&gt;=20000000, "Diamond")</f>
        <v>Diamond</v>
      </c>
      <c r="G685" s="11">
        <f>SUMIF(Data_Donasi[Nama_Donatur],Data_Donasi[[#This Row],[Nama_Donatur]],Data_Donasi[Nominal])</f>
        <v>26200000</v>
      </c>
    </row>
    <row r="686" spans="1:7" x14ac:dyDescent="0.3">
      <c r="A686" s="14" t="s">
        <v>98</v>
      </c>
      <c r="B686" s="4" t="s">
        <v>198</v>
      </c>
      <c r="C686" s="4" t="s">
        <v>298</v>
      </c>
      <c r="D686" s="9">
        <v>45849</v>
      </c>
      <c r="E686" s="12">
        <v>2000000</v>
      </c>
      <c r="F686" t="str" cm="1">
        <f t="array" ref="F686">_xlfn.IFS(G686&lt;5000000, "Bronze", G686&lt;10000000, "Silver", G686&lt;20000000, "Gold", G686&gt;=20000000, "Diamond")</f>
        <v>Diamond</v>
      </c>
      <c r="G686" s="11">
        <f>SUMIF(Data_Donasi[Nama_Donatur],Data_Donasi[[#This Row],[Nama_Donatur]],Data_Donasi[Nominal])</f>
        <v>36400000</v>
      </c>
    </row>
    <row r="687" spans="1:7" x14ac:dyDescent="0.3">
      <c r="A687" s="14" t="s">
        <v>79</v>
      </c>
      <c r="B687" s="4" t="s">
        <v>179</v>
      </c>
      <c r="C687" s="4" t="s">
        <v>279</v>
      </c>
      <c r="D687" s="9">
        <v>45850</v>
      </c>
      <c r="E687" s="12">
        <v>7000000</v>
      </c>
      <c r="F687" t="str" cm="1">
        <f t="array" ref="F687">_xlfn.IFS(G687&lt;5000000, "Bronze", G687&lt;10000000, "Silver", G687&lt;20000000, "Gold", G687&gt;=20000000, "Diamond")</f>
        <v>Diamond</v>
      </c>
      <c r="G687" s="11">
        <f>SUMIF(Data_Donasi[Nama_Donatur],Data_Donasi[[#This Row],[Nama_Donatur]],Data_Donasi[Nominal])</f>
        <v>23700000</v>
      </c>
    </row>
    <row r="688" spans="1:7" x14ac:dyDescent="0.3">
      <c r="A688" s="14" t="s">
        <v>13</v>
      </c>
      <c r="B688" s="4" t="s">
        <v>113</v>
      </c>
      <c r="C688" s="4" t="s">
        <v>213</v>
      </c>
      <c r="D688" s="9">
        <v>45850</v>
      </c>
      <c r="E688" s="12">
        <v>200000</v>
      </c>
      <c r="F688" t="str" cm="1">
        <f t="array" ref="F688">_xlfn.IFS(G688&lt;5000000, "Bronze", G688&lt;10000000, "Silver", G688&lt;20000000, "Gold", G688&gt;=20000000, "Diamond")</f>
        <v>Diamond</v>
      </c>
      <c r="G688" s="11">
        <f>SUMIF(Data_Donasi[Nama_Donatur],Data_Donasi[[#This Row],[Nama_Donatur]],Data_Donasi[Nominal])</f>
        <v>46550000</v>
      </c>
    </row>
    <row r="689" spans="1:7" x14ac:dyDescent="0.3">
      <c r="A689" s="14" t="s">
        <v>42</v>
      </c>
      <c r="B689" s="4" t="s">
        <v>142</v>
      </c>
      <c r="C689" s="4" t="s">
        <v>242</v>
      </c>
      <c r="D689" s="9">
        <v>45850</v>
      </c>
      <c r="E689" s="12">
        <v>100000</v>
      </c>
      <c r="F689" t="str" cm="1">
        <f t="array" ref="F689">_xlfn.IFS(G689&lt;5000000, "Bronze", G689&lt;10000000, "Silver", G689&lt;20000000, "Gold", G689&gt;=20000000, "Diamond")</f>
        <v>Diamond</v>
      </c>
      <c r="G689" s="11">
        <f>SUMIF(Data_Donasi[Nama_Donatur],Data_Donasi[[#This Row],[Nama_Donatur]],Data_Donasi[Nominal])</f>
        <v>42100000</v>
      </c>
    </row>
    <row r="690" spans="1:7" x14ac:dyDescent="0.3">
      <c r="A690" s="14" t="s">
        <v>104</v>
      </c>
      <c r="B690" s="4" t="s">
        <v>204</v>
      </c>
      <c r="C690" s="4" t="s">
        <v>304</v>
      </c>
      <c r="D690" s="9">
        <v>45850</v>
      </c>
      <c r="E690" s="12">
        <v>250000</v>
      </c>
      <c r="F690" t="str" cm="1">
        <f t="array" ref="F690">_xlfn.IFS(G690&lt;5000000, "Bronze", G690&lt;10000000, "Silver", G690&lt;20000000, "Gold", G690&gt;=20000000, "Diamond")</f>
        <v>Diamond</v>
      </c>
      <c r="G690" s="11">
        <f>SUMIF(Data_Donasi[Nama_Donatur],Data_Donasi[[#This Row],[Nama_Donatur]],Data_Donasi[Nominal])</f>
        <v>22000000</v>
      </c>
    </row>
    <row r="691" spans="1:7" x14ac:dyDescent="0.3">
      <c r="A691" s="14" t="s">
        <v>67</v>
      </c>
      <c r="B691" s="4" t="s">
        <v>167</v>
      </c>
      <c r="C691" s="4" t="s">
        <v>267</v>
      </c>
      <c r="D691" s="9">
        <v>45850</v>
      </c>
      <c r="E691" s="12">
        <v>250000</v>
      </c>
      <c r="F691" t="str" cm="1">
        <f t="array" ref="F691">_xlfn.IFS(G691&lt;5000000, "Bronze", G691&lt;10000000, "Silver", G691&lt;20000000, "Gold", G691&gt;=20000000, "Diamond")</f>
        <v>Diamond</v>
      </c>
      <c r="G691" s="11">
        <f>SUMIF(Data_Donasi[Nama_Donatur],Data_Donasi[[#This Row],[Nama_Donatur]],Data_Donasi[Nominal])</f>
        <v>28450000</v>
      </c>
    </row>
    <row r="692" spans="1:7" x14ac:dyDescent="0.3">
      <c r="A692" s="14" t="s">
        <v>98</v>
      </c>
      <c r="B692" s="4" t="s">
        <v>198</v>
      </c>
      <c r="C692" s="4" t="s">
        <v>298</v>
      </c>
      <c r="D692" s="9">
        <v>45850</v>
      </c>
      <c r="E692" s="12">
        <v>1000000</v>
      </c>
      <c r="F692" t="str" cm="1">
        <f t="array" ref="F692">_xlfn.IFS(G692&lt;5000000, "Bronze", G692&lt;10000000, "Silver", G692&lt;20000000, "Gold", G692&gt;=20000000, "Diamond")</f>
        <v>Diamond</v>
      </c>
      <c r="G692" s="11">
        <f>SUMIF(Data_Donasi[Nama_Donatur],Data_Donasi[[#This Row],[Nama_Donatur]],Data_Donasi[Nominal])</f>
        <v>36400000</v>
      </c>
    </row>
    <row r="693" spans="1:7" x14ac:dyDescent="0.3">
      <c r="A693" s="14" t="s">
        <v>74</v>
      </c>
      <c r="B693" s="4" t="s">
        <v>174</v>
      </c>
      <c r="C693" s="4" t="s">
        <v>274</v>
      </c>
      <c r="D693" s="9">
        <v>45850</v>
      </c>
      <c r="E693" s="12">
        <v>100000</v>
      </c>
      <c r="F693" t="str" cm="1">
        <f t="array" ref="F693">_xlfn.IFS(G693&lt;5000000, "Bronze", G693&lt;10000000, "Silver", G693&lt;20000000, "Gold", G693&gt;=20000000, "Diamond")</f>
        <v>Diamond</v>
      </c>
      <c r="G693" s="11">
        <f>SUMIF(Data_Donasi[Nama_Donatur],Data_Donasi[[#This Row],[Nama_Donatur]],Data_Donasi[Nominal])</f>
        <v>57450000</v>
      </c>
    </row>
    <row r="694" spans="1:7" x14ac:dyDescent="0.3">
      <c r="A694" s="14" t="s">
        <v>48</v>
      </c>
      <c r="B694" s="4" t="s">
        <v>148</v>
      </c>
      <c r="C694" s="4" t="s">
        <v>248</v>
      </c>
      <c r="D694" s="9">
        <v>45851</v>
      </c>
      <c r="E694" s="12">
        <v>200000</v>
      </c>
      <c r="F694" t="str" cm="1">
        <f t="array" ref="F694">_xlfn.IFS(G694&lt;5000000, "Bronze", G694&lt;10000000, "Silver", G694&lt;20000000, "Gold", G694&gt;=20000000, "Diamond")</f>
        <v>Diamond</v>
      </c>
      <c r="G694" s="11">
        <f>SUMIF(Data_Donasi[Nama_Donatur],Data_Donasi[[#This Row],[Nama_Donatur]],Data_Donasi[Nominal])</f>
        <v>41150000</v>
      </c>
    </row>
    <row r="695" spans="1:7" x14ac:dyDescent="0.3">
      <c r="A695" s="14" t="s">
        <v>12</v>
      </c>
      <c r="B695" s="4" t="s">
        <v>112</v>
      </c>
      <c r="C695" s="4" t="s">
        <v>212</v>
      </c>
      <c r="D695" s="9">
        <v>45851</v>
      </c>
      <c r="E695" s="12">
        <v>2000000</v>
      </c>
      <c r="F695" t="str" cm="1">
        <f t="array" ref="F695">_xlfn.IFS(G695&lt;5000000, "Bronze", G695&lt;10000000, "Silver", G695&lt;20000000, "Gold", G695&gt;=20000000, "Diamond")</f>
        <v>Silver</v>
      </c>
      <c r="G695" s="11">
        <f>SUMIF(Data_Donasi[Nama_Donatur],Data_Donasi[[#This Row],[Nama_Donatur]],Data_Donasi[Nominal])</f>
        <v>8900000</v>
      </c>
    </row>
    <row r="696" spans="1:7" x14ac:dyDescent="0.3">
      <c r="A696" s="14" t="s">
        <v>86</v>
      </c>
      <c r="B696" s="4" t="s">
        <v>186</v>
      </c>
      <c r="C696" s="4" t="s">
        <v>286</v>
      </c>
      <c r="D696" s="9">
        <v>45851</v>
      </c>
      <c r="E696" s="12">
        <v>7000000</v>
      </c>
      <c r="F696" t="str" cm="1">
        <f t="array" ref="F696">_xlfn.IFS(G696&lt;5000000, "Bronze", G696&lt;10000000, "Silver", G696&lt;20000000, "Gold", G696&gt;=20000000, "Diamond")</f>
        <v>Diamond</v>
      </c>
      <c r="G696" s="11">
        <f>SUMIF(Data_Donasi[Nama_Donatur],Data_Donasi[[#This Row],[Nama_Donatur]],Data_Donasi[Nominal])</f>
        <v>50500000</v>
      </c>
    </row>
    <row r="697" spans="1:7" x14ac:dyDescent="0.3">
      <c r="A697" s="14" t="s">
        <v>87</v>
      </c>
      <c r="B697" s="4" t="s">
        <v>187</v>
      </c>
      <c r="C697" s="4" t="s">
        <v>287</v>
      </c>
      <c r="D697" s="9">
        <v>45851</v>
      </c>
      <c r="E697" s="12">
        <v>150000</v>
      </c>
      <c r="F697" t="str" cm="1">
        <f t="array" ref="F697">_xlfn.IFS(G697&lt;5000000, "Bronze", G697&lt;10000000, "Silver", G697&lt;20000000, "Gold", G697&gt;=20000000, "Diamond")</f>
        <v>Diamond</v>
      </c>
      <c r="G697" s="11">
        <f>SUMIF(Data_Donasi[Nama_Donatur],Data_Donasi[[#This Row],[Nama_Donatur]],Data_Donasi[Nominal])</f>
        <v>26100000</v>
      </c>
    </row>
    <row r="698" spans="1:7" x14ac:dyDescent="0.3">
      <c r="A698" s="14" t="s">
        <v>89</v>
      </c>
      <c r="B698" s="4" t="s">
        <v>189</v>
      </c>
      <c r="C698" s="4" t="s">
        <v>289</v>
      </c>
      <c r="D698" s="9">
        <v>45851</v>
      </c>
      <c r="E698" s="12">
        <v>3000000</v>
      </c>
      <c r="F698" t="str" cm="1">
        <f t="array" ref="F698">_xlfn.IFS(G698&lt;5000000, "Bronze", G698&lt;10000000, "Silver", G698&lt;20000000, "Gold", G698&gt;=20000000, "Diamond")</f>
        <v>Diamond</v>
      </c>
      <c r="G698" s="11">
        <f>SUMIF(Data_Donasi[Nama_Donatur],Data_Donasi[[#This Row],[Nama_Donatur]],Data_Donasi[Nominal])</f>
        <v>28500000</v>
      </c>
    </row>
    <row r="699" spans="1:7" x14ac:dyDescent="0.3">
      <c r="A699" s="14" t="s">
        <v>59</v>
      </c>
      <c r="B699" s="4" t="s">
        <v>159</v>
      </c>
      <c r="C699" s="4" t="s">
        <v>259</v>
      </c>
      <c r="D699" s="9">
        <v>45851</v>
      </c>
      <c r="E699" s="12">
        <v>1000000</v>
      </c>
      <c r="F699" t="str" cm="1">
        <f t="array" ref="F699">_xlfn.IFS(G699&lt;5000000, "Bronze", G699&lt;10000000, "Silver", G699&lt;20000000, "Gold", G699&gt;=20000000, "Diamond")</f>
        <v>Diamond</v>
      </c>
      <c r="G699" s="11">
        <f>SUMIF(Data_Donasi[Nama_Donatur],Data_Donasi[[#This Row],[Nama_Donatur]],Data_Donasi[Nominal])</f>
        <v>22850000</v>
      </c>
    </row>
    <row r="700" spans="1:7" x14ac:dyDescent="0.3">
      <c r="A700" s="14" t="s">
        <v>7</v>
      </c>
      <c r="B700" s="4" t="s">
        <v>107</v>
      </c>
      <c r="C700" s="4" t="s">
        <v>207</v>
      </c>
      <c r="D700" s="9">
        <v>45851</v>
      </c>
      <c r="E700" s="12">
        <v>150000</v>
      </c>
      <c r="F700" t="str" cm="1">
        <f t="array" ref="F700">_xlfn.IFS(G700&lt;5000000, "Bronze", G700&lt;10000000, "Silver", G700&lt;20000000, "Gold", G700&gt;=20000000, "Diamond")</f>
        <v>Diamond</v>
      </c>
      <c r="G700" s="11">
        <f>SUMIF(Data_Donasi[Nama_Donatur],Data_Donasi[[#This Row],[Nama_Donatur]],Data_Donasi[Nominal])</f>
        <v>30150000</v>
      </c>
    </row>
    <row r="701" spans="1:7" x14ac:dyDescent="0.3">
      <c r="A701" s="14" t="s">
        <v>74</v>
      </c>
      <c r="B701" s="4" t="s">
        <v>174</v>
      </c>
      <c r="C701" s="4" t="s">
        <v>274</v>
      </c>
      <c r="D701" s="9">
        <v>45852</v>
      </c>
      <c r="E701" s="12">
        <v>5000000</v>
      </c>
      <c r="F701" t="str" cm="1">
        <f t="array" ref="F701">_xlfn.IFS(G701&lt;5000000, "Bronze", G701&lt;10000000, "Silver", G701&lt;20000000, "Gold", G701&gt;=20000000, "Diamond")</f>
        <v>Diamond</v>
      </c>
      <c r="G701" s="11">
        <f>SUMIF(Data_Donasi[Nama_Donatur],Data_Donasi[[#This Row],[Nama_Donatur]],Data_Donasi[Nominal])</f>
        <v>57450000</v>
      </c>
    </row>
    <row r="702" spans="1:7" x14ac:dyDescent="0.3">
      <c r="A702" s="14" t="s">
        <v>73</v>
      </c>
      <c r="B702" s="4" t="s">
        <v>173</v>
      </c>
      <c r="C702" s="4" t="s">
        <v>273</v>
      </c>
      <c r="D702" s="9">
        <v>45853</v>
      </c>
      <c r="E702" s="12">
        <v>2000000</v>
      </c>
      <c r="F702" t="str" cm="1">
        <f t="array" ref="F702">_xlfn.IFS(G702&lt;5000000, "Bronze", G702&lt;10000000, "Silver", G702&lt;20000000, "Gold", G702&gt;=20000000, "Diamond")</f>
        <v>Diamond</v>
      </c>
      <c r="G702" s="11">
        <f>SUMIF(Data_Donasi[Nama_Donatur],Data_Donasi[[#This Row],[Nama_Donatur]],Data_Donasi[Nominal])</f>
        <v>28750000</v>
      </c>
    </row>
    <row r="703" spans="1:7" x14ac:dyDescent="0.3">
      <c r="A703" s="14" t="s">
        <v>82</v>
      </c>
      <c r="B703" s="4" t="s">
        <v>182</v>
      </c>
      <c r="C703" s="4" t="s">
        <v>282</v>
      </c>
      <c r="D703" s="9">
        <v>45853</v>
      </c>
      <c r="E703" s="12">
        <v>1000000</v>
      </c>
      <c r="F703" t="str" cm="1">
        <f t="array" ref="F703">_xlfn.IFS(G703&lt;5000000, "Bronze", G703&lt;10000000, "Silver", G703&lt;20000000, "Gold", G703&gt;=20000000, "Diamond")</f>
        <v>Diamond</v>
      </c>
      <c r="G703" s="11">
        <f>SUMIF(Data_Donasi[Nama_Donatur],Data_Donasi[[#This Row],[Nama_Donatur]],Data_Donasi[Nominal])</f>
        <v>63700000</v>
      </c>
    </row>
    <row r="704" spans="1:7" x14ac:dyDescent="0.3">
      <c r="A704" s="14" t="s">
        <v>86</v>
      </c>
      <c r="B704" s="4" t="s">
        <v>186</v>
      </c>
      <c r="C704" s="4" t="s">
        <v>286</v>
      </c>
      <c r="D704" s="9">
        <v>45853</v>
      </c>
      <c r="E704" s="12">
        <v>50000</v>
      </c>
      <c r="F704" t="str" cm="1">
        <f t="array" ref="F704">_xlfn.IFS(G704&lt;5000000, "Bronze", G704&lt;10000000, "Silver", G704&lt;20000000, "Gold", G704&gt;=20000000, "Diamond")</f>
        <v>Diamond</v>
      </c>
      <c r="G704" s="11">
        <f>SUMIF(Data_Donasi[Nama_Donatur],Data_Donasi[[#This Row],[Nama_Donatur]],Data_Donasi[Nominal])</f>
        <v>50500000</v>
      </c>
    </row>
    <row r="705" spans="1:7" x14ac:dyDescent="0.3">
      <c r="A705" s="14" t="s">
        <v>47</v>
      </c>
      <c r="B705" s="4" t="s">
        <v>147</v>
      </c>
      <c r="C705" s="4" t="s">
        <v>247</v>
      </c>
      <c r="D705" s="9">
        <v>45853</v>
      </c>
      <c r="E705" s="12">
        <v>50000</v>
      </c>
      <c r="F705" t="str" cm="1">
        <f t="array" ref="F705">_xlfn.IFS(G705&lt;5000000, "Bronze", G705&lt;10000000, "Silver", G705&lt;20000000, "Gold", G705&gt;=20000000, "Diamond")</f>
        <v>Diamond</v>
      </c>
      <c r="G705" s="11">
        <f>SUMIF(Data_Donasi[Nama_Donatur],Data_Donasi[[#This Row],[Nama_Donatur]],Data_Donasi[Nominal])</f>
        <v>45000000</v>
      </c>
    </row>
    <row r="706" spans="1:7" x14ac:dyDescent="0.3">
      <c r="A706" s="14" t="s">
        <v>6</v>
      </c>
      <c r="B706" s="4" t="s">
        <v>106</v>
      </c>
      <c r="C706" s="4" t="s">
        <v>206</v>
      </c>
      <c r="D706" s="9">
        <v>45854</v>
      </c>
      <c r="E706" s="12">
        <v>20000000</v>
      </c>
      <c r="F706" t="str" cm="1">
        <f t="array" ref="F706">_xlfn.IFS(G706&lt;5000000, "Bronze", G706&lt;10000000, "Silver", G706&lt;20000000, "Gold", G706&gt;=20000000, "Diamond")</f>
        <v>Diamond</v>
      </c>
      <c r="G706" s="11">
        <f>SUMIF(Data_Donasi[Nama_Donatur],Data_Donasi[[#This Row],[Nama_Donatur]],Data_Donasi[Nominal])</f>
        <v>47600000</v>
      </c>
    </row>
    <row r="707" spans="1:7" x14ac:dyDescent="0.3">
      <c r="A707" s="14" t="s">
        <v>87</v>
      </c>
      <c r="B707" s="4" t="s">
        <v>187</v>
      </c>
      <c r="C707" s="4" t="s">
        <v>287</v>
      </c>
      <c r="D707" s="9">
        <v>45854</v>
      </c>
      <c r="E707" s="12">
        <v>200000</v>
      </c>
      <c r="F707" t="str" cm="1">
        <f t="array" ref="F707">_xlfn.IFS(G707&lt;5000000, "Bronze", G707&lt;10000000, "Silver", G707&lt;20000000, "Gold", G707&gt;=20000000, "Diamond")</f>
        <v>Diamond</v>
      </c>
      <c r="G707" s="11">
        <f>SUMIF(Data_Donasi[Nama_Donatur],Data_Donasi[[#This Row],[Nama_Donatur]],Data_Donasi[Nominal])</f>
        <v>26100000</v>
      </c>
    </row>
    <row r="708" spans="1:7" x14ac:dyDescent="0.3">
      <c r="A708" s="14" t="s">
        <v>14</v>
      </c>
      <c r="B708" s="4" t="s">
        <v>114</v>
      </c>
      <c r="C708" s="4" t="s">
        <v>214</v>
      </c>
      <c r="D708" s="9">
        <v>45854</v>
      </c>
      <c r="E708" s="12">
        <v>500000</v>
      </c>
      <c r="F708" t="str" cm="1">
        <f t="array" ref="F708">_xlfn.IFS(G708&lt;5000000, "Bronze", G708&lt;10000000, "Silver", G708&lt;20000000, "Gold", G708&gt;=20000000, "Diamond")</f>
        <v>Diamond</v>
      </c>
      <c r="G708" s="11">
        <f>SUMIF(Data_Donasi[Nama_Donatur],Data_Donasi[[#This Row],[Nama_Donatur]],Data_Donasi[Nominal])</f>
        <v>73750000</v>
      </c>
    </row>
    <row r="709" spans="1:7" x14ac:dyDescent="0.3">
      <c r="A709" s="14" t="s">
        <v>55</v>
      </c>
      <c r="B709" s="4" t="s">
        <v>155</v>
      </c>
      <c r="C709" s="4" t="s">
        <v>255</v>
      </c>
      <c r="D709" s="9">
        <v>45854</v>
      </c>
      <c r="E709" s="12">
        <v>1000000</v>
      </c>
      <c r="F709" t="str" cm="1">
        <f t="array" ref="F709">_xlfn.IFS(G709&lt;5000000, "Bronze", G709&lt;10000000, "Silver", G709&lt;20000000, "Gold", G709&gt;=20000000, "Diamond")</f>
        <v>Diamond</v>
      </c>
      <c r="G709" s="11">
        <f>SUMIF(Data_Donasi[Nama_Donatur],Data_Donasi[[#This Row],[Nama_Donatur]],Data_Donasi[Nominal])</f>
        <v>50950000</v>
      </c>
    </row>
    <row r="710" spans="1:7" x14ac:dyDescent="0.3">
      <c r="A710" s="14" t="s">
        <v>64</v>
      </c>
      <c r="B710" s="4" t="s">
        <v>164</v>
      </c>
      <c r="C710" s="4" t="s">
        <v>264</v>
      </c>
      <c r="D710" s="9">
        <v>45854</v>
      </c>
      <c r="E710" s="12">
        <v>2000000</v>
      </c>
      <c r="F710" t="str" cm="1">
        <f t="array" ref="F710">_xlfn.IFS(G710&lt;5000000, "Bronze", G710&lt;10000000, "Silver", G710&lt;20000000, "Gold", G710&gt;=20000000, "Diamond")</f>
        <v>Diamond</v>
      </c>
      <c r="G710" s="11">
        <f>SUMIF(Data_Donasi[Nama_Donatur],Data_Donasi[[#This Row],[Nama_Donatur]],Data_Donasi[Nominal])</f>
        <v>27750000</v>
      </c>
    </row>
    <row r="711" spans="1:7" x14ac:dyDescent="0.3">
      <c r="A711" s="14" t="s">
        <v>47</v>
      </c>
      <c r="B711" s="4" t="s">
        <v>147</v>
      </c>
      <c r="C711" s="4" t="s">
        <v>247</v>
      </c>
      <c r="D711" s="9">
        <v>45854</v>
      </c>
      <c r="E711" s="12">
        <v>1000000</v>
      </c>
      <c r="F711" t="str" cm="1">
        <f t="array" ref="F711">_xlfn.IFS(G711&lt;5000000, "Bronze", G711&lt;10000000, "Silver", G711&lt;20000000, "Gold", G711&gt;=20000000, "Diamond")</f>
        <v>Diamond</v>
      </c>
      <c r="G711" s="11">
        <f>SUMIF(Data_Donasi[Nama_Donatur],Data_Donasi[[#This Row],[Nama_Donatur]],Data_Donasi[Nominal])</f>
        <v>45000000</v>
      </c>
    </row>
    <row r="712" spans="1:7" x14ac:dyDescent="0.3">
      <c r="A712" s="14" t="s">
        <v>70</v>
      </c>
      <c r="B712" s="4" t="s">
        <v>170</v>
      </c>
      <c r="C712" s="4" t="s">
        <v>270</v>
      </c>
      <c r="D712" s="9">
        <v>45854</v>
      </c>
      <c r="E712" s="12">
        <v>50000</v>
      </c>
      <c r="F712" t="str" cm="1">
        <f t="array" ref="F712">_xlfn.IFS(G712&lt;5000000, "Bronze", G712&lt;10000000, "Silver", G712&lt;20000000, "Gold", G712&gt;=20000000, "Diamond")</f>
        <v>Diamond</v>
      </c>
      <c r="G712" s="11">
        <f>SUMIF(Data_Donasi[Nama_Donatur],Data_Donasi[[#This Row],[Nama_Donatur]],Data_Donasi[Nominal])</f>
        <v>21600000</v>
      </c>
    </row>
    <row r="713" spans="1:7" x14ac:dyDescent="0.3">
      <c r="A713" s="14" t="s">
        <v>8</v>
      </c>
      <c r="B713" s="4" t="s">
        <v>108</v>
      </c>
      <c r="C713" s="4" t="s">
        <v>208</v>
      </c>
      <c r="D713" s="9">
        <v>45854</v>
      </c>
      <c r="E713" s="12">
        <v>5000000</v>
      </c>
      <c r="F713" t="str" cm="1">
        <f t="array" ref="F713">_xlfn.IFS(G713&lt;5000000, "Bronze", G713&lt;10000000, "Silver", G713&lt;20000000, "Gold", G713&gt;=20000000, "Diamond")</f>
        <v>Diamond</v>
      </c>
      <c r="G713" s="11">
        <f>SUMIF(Data_Donasi[Nama_Donatur],Data_Donasi[[#This Row],[Nama_Donatur]],Data_Donasi[Nominal])</f>
        <v>31750000</v>
      </c>
    </row>
    <row r="714" spans="1:7" x14ac:dyDescent="0.3">
      <c r="A714" s="14" t="s">
        <v>101</v>
      </c>
      <c r="B714" s="4" t="s">
        <v>201</v>
      </c>
      <c r="C714" s="4" t="s">
        <v>301</v>
      </c>
      <c r="D714" s="9">
        <v>45854</v>
      </c>
      <c r="E714" s="12">
        <v>100000</v>
      </c>
      <c r="F714" t="str" cm="1">
        <f t="array" ref="F714">_xlfn.IFS(G714&lt;5000000, "Bronze", G714&lt;10000000, "Silver", G714&lt;20000000, "Gold", G714&gt;=20000000, "Diamond")</f>
        <v>Silver</v>
      </c>
      <c r="G714" s="11">
        <f>SUMIF(Data_Donasi[Nama_Donatur],Data_Donasi[[#This Row],[Nama_Donatur]],Data_Donasi[Nominal])</f>
        <v>8650000</v>
      </c>
    </row>
    <row r="715" spans="1:7" x14ac:dyDescent="0.3">
      <c r="A715" s="14" t="s">
        <v>81</v>
      </c>
      <c r="B715" s="4" t="s">
        <v>181</v>
      </c>
      <c r="C715" s="4" t="s">
        <v>281</v>
      </c>
      <c r="D715" s="9">
        <v>45855</v>
      </c>
      <c r="E715" s="12">
        <v>50000</v>
      </c>
      <c r="F715" t="str" cm="1">
        <f t="array" ref="F715">_xlfn.IFS(G715&lt;5000000, "Bronze", G715&lt;10000000, "Silver", G715&lt;20000000, "Gold", G715&gt;=20000000, "Diamond")</f>
        <v>Diamond</v>
      </c>
      <c r="G715" s="11">
        <f>SUMIF(Data_Donasi[Nama_Donatur],Data_Donasi[[#This Row],[Nama_Donatur]],Data_Donasi[Nominal])</f>
        <v>86000000</v>
      </c>
    </row>
    <row r="716" spans="1:7" x14ac:dyDescent="0.3">
      <c r="A716" s="14" t="s">
        <v>85</v>
      </c>
      <c r="B716" s="4" t="s">
        <v>185</v>
      </c>
      <c r="C716" s="4" t="s">
        <v>285</v>
      </c>
      <c r="D716" s="9">
        <v>45855</v>
      </c>
      <c r="E716" s="12">
        <v>2000000</v>
      </c>
      <c r="F716" t="str" cm="1">
        <f t="array" ref="F716">_xlfn.IFS(G716&lt;5000000, "Bronze", G716&lt;10000000, "Silver", G716&lt;20000000, "Gold", G716&gt;=20000000, "Diamond")</f>
        <v>Gold</v>
      </c>
      <c r="G716" s="11">
        <f>SUMIF(Data_Donasi[Nama_Donatur],Data_Donasi[[#This Row],[Nama_Donatur]],Data_Donasi[Nominal])</f>
        <v>18900000</v>
      </c>
    </row>
    <row r="717" spans="1:7" x14ac:dyDescent="0.3">
      <c r="A717" s="14" t="s">
        <v>66</v>
      </c>
      <c r="B717" s="4" t="s">
        <v>166</v>
      </c>
      <c r="C717" s="4" t="s">
        <v>266</v>
      </c>
      <c r="D717" s="9">
        <v>45855</v>
      </c>
      <c r="E717" s="12">
        <v>3000000</v>
      </c>
      <c r="F717" t="str" cm="1">
        <f t="array" ref="F717">_xlfn.IFS(G717&lt;5000000, "Bronze", G717&lt;10000000, "Silver", G717&lt;20000000, "Gold", G717&gt;=20000000, "Diamond")</f>
        <v>Diamond</v>
      </c>
      <c r="G717" s="11">
        <f>SUMIF(Data_Donasi[Nama_Donatur],Data_Donasi[[#This Row],[Nama_Donatur]],Data_Donasi[Nominal])</f>
        <v>26350000</v>
      </c>
    </row>
    <row r="718" spans="1:7" x14ac:dyDescent="0.3">
      <c r="A718" s="14" t="s">
        <v>47</v>
      </c>
      <c r="B718" s="4" t="s">
        <v>147</v>
      </c>
      <c r="C718" s="4" t="s">
        <v>247</v>
      </c>
      <c r="D718" s="9">
        <v>45855</v>
      </c>
      <c r="E718" s="12">
        <v>10000000</v>
      </c>
      <c r="F718" t="str" cm="1">
        <f t="array" ref="F718">_xlfn.IFS(G718&lt;5000000, "Bronze", G718&lt;10000000, "Silver", G718&lt;20000000, "Gold", G718&gt;=20000000, "Diamond")</f>
        <v>Diamond</v>
      </c>
      <c r="G718" s="11">
        <f>SUMIF(Data_Donasi[Nama_Donatur],Data_Donasi[[#This Row],[Nama_Donatur]],Data_Donasi[Nominal])</f>
        <v>45000000</v>
      </c>
    </row>
    <row r="719" spans="1:7" x14ac:dyDescent="0.3">
      <c r="A719" s="14" t="s">
        <v>66</v>
      </c>
      <c r="B719" s="4" t="s">
        <v>166</v>
      </c>
      <c r="C719" s="4" t="s">
        <v>266</v>
      </c>
      <c r="D719" s="9">
        <v>45855</v>
      </c>
      <c r="E719" s="12">
        <v>50000</v>
      </c>
      <c r="F719" t="str" cm="1">
        <f t="array" ref="F719">_xlfn.IFS(G719&lt;5000000, "Bronze", G719&lt;10000000, "Silver", G719&lt;20000000, "Gold", G719&gt;=20000000, "Diamond")</f>
        <v>Diamond</v>
      </c>
      <c r="G719" s="11">
        <f>SUMIF(Data_Donasi[Nama_Donatur],Data_Donasi[[#This Row],[Nama_Donatur]],Data_Donasi[Nominal])</f>
        <v>26350000</v>
      </c>
    </row>
    <row r="720" spans="1:7" x14ac:dyDescent="0.3">
      <c r="A720" s="14" t="s">
        <v>50</v>
      </c>
      <c r="B720" s="4" t="s">
        <v>150</v>
      </c>
      <c r="C720" s="4" t="s">
        <v>250</v>
      </c>
      <c r="D720" s="9">
        <v>45855</v>
      </c>
      <c r="E720" s="12">
        <v>5000000</v>
      </c>
      <c r="F720" t="str" cm="1">
        <f t="array" ref="F720">_xlfn.IFS(G720&lt;5000000, "Bronze", G720&lt;10000000, "Silver", G720&lt;20000000, "Gold", G720&gt;=20000000, "Diamond")</f>
        <v>Diamond</v>
      </c>
      <c r="G720" s="11">
        <f>SUMIF(Data_Donasi[Nama_Donatur],Data_Donasi[[#This Row],[Nama_Donatur]],Data_Donasi[Nominal])</f>
        <v>39700000</v>
      </c>
    </row>
    <row r="721" spans="1:7" x14ac:dyDescent="0.3">
      <c r="A721" s="14" t="s">
        <v>97</v>
      </c>
      <c r="B721" s="4" t="s">
        <v>197</v>
      </c>
      <c r="C721" s="4" t="s">
        <v>297</v>
      </c>
      <c r="D721" s="9">
        <v>45855</v>
      </c>
      <c r="E721" s="12">
        <v>3000000</v>
      </c>
      <c r="F721" t="str" cm="1">
        <f t="array" ref="F721">_xlfn.IFS(G721&lt;5000000, "Bronze", G721&lt;10000000, "Silver", G721&lt;20000000, "Gold", G721&gt;=20000000, "Diamond")</f>
        <v>Diamond</v>
      </c>
      <c r="G721" s="11">
        <f>SUMIF(Data_Donasi[Nama_Donatur],Data_Donasi[[#This Row],[Nama_Donatur]],Data_Donasi[Nominal])</f>
        <v>52700000</v>
      </c>
    </row>
    <row r="722" spans="1:7" x14ac:dyDescent="0.3">
      <c r="A722" s="14" t="s">
        <v>15</v>
      </c>
      <c r="B722" s="4" t="s">
        <v>115</v>
      </c>
      <c r="C722" s="4" t="s">
        <v>215</v>
      </c>
      <c r="D722" s="9">
        <v>45856</v>
      </c>
      <c r="E722" s="12">
        <v>500000</v>
      </c>
      <c r="F722" t="str" cm="1">
        <f t="array" ref="F722">_xlfn.IFS(G722&lt;5000000, "Bronze", G722&lt;10000000, "Silver", G722&lt;20000000, "Gold", G722&gt;=20000000, "Diamond")</f>
        <v>Diamond</v>
      </c>
      <c r="G722" s="11">
        <f>SUMIF(Data_Donasi[Nama_Donatur],Data_Donasi[[#This Row],[Nama_Donatur]],Data_Donasi[Nominal])</f>
        <v>84750000</v>
      </c>
    </row>
    <row r="723" spans="1:7" x14ac:dyDescent="0.3">
      <c r="A723" s="14" t="s">
        <v>49</v>
      </c>
      <c r="B723" s="4" t="s">
        <v>149</v>
      </c>
      <c r="C723" s="4" t="s">
        <v>249</v>
      </c>
      <c r="D723" s="9">
        <v>45856</v>
      </c>
      <c r="E723" s="12">
        <v>150000</v>
      </c>
      <c r="F723" t="str" cm="1">
        <f t="array" ref="F723">_xlfn.IFS(G723&lt;5000000, "Bronze", G723&lt;10000000, "Silver", G723&lt;20000000, "Gold", G723&gt;=20000000, "Diamond")</f>
        <v>Bronze</v>
      </c>
      <c r="G723" s="11">
        <f>SUMIF(Data_Donasi[Nama_Donatur],Data_Donasi[[#This Row],[Nama_Donatur]],Data_Donasi[Nominal])</f>
        <v>3050000</v>
      </c>
    </row>
    <row r="724" spans="1:7" x14ac:dyDescent="0.3">
      <c r="A724" s="14" t="s">
        <v>7</v>
      </c>
      <c r="B724" s="4" t="s">
        <v>107</v>
      </c>
      <c r="C724" s="4" t="s">
        <v>207</v>
      </c>
      <c r="D724" s="9">
        <v>45856</v>
      </c>
      <c r="E724" s="12">
        <v>20000000</v>
      </c>
      <c r="F724" t="str" cm="1">
        <f t="array" ref="F724">_xlfn.IFS(G724&lt;5000000, "Bronze", G724&lt;10000000, "Silver", G724&lt;20000000, "Gold", G724&gt;=20000000, "Diamond")</f>
        <v>Diamond</v>
      </c>
      <c r="G724" s="11">
        <f>SUMIF(Data_Donasi[Nama_Donatur],Data_Donasi[[#This Row],[Nama_Donatur]],Data_Donasi[Nominal])</f>
        <v>30150000</v>
      </c>
    </row>
    <row r="725" spans="1:7" x14ac:dyDescent="0.3">
      <c r="A725" s="14" t="s">
        <v>6</v>
      </c>
      <c r="B725" s="4" t="s">
        <v>106</v>
      </c>
      <c r="C725" s="4" t="s">
        <v>206</v>
      </c>
      <c r="D725" s="9">
        <v>45857</v>
      </c>
      <c r="E725" s="12">
        <v>5000000</v>
      </c>
      <c r="F725" t="str" cm="1">
        <f t="array" ref="F725">_xlfn.IFS(G725&lt;5000000, "Bronze", G725&lt;10000000, "Silver", G725&lt;20000000, "Gold", G725&gt;=20000000, "Diamond")</f>
        <v>Diamond</v>
      </c>
      <c r="G725" s="11">
        <f>SUMIF(Data_Donasi[Nama_Donatur],Data_Donasi[[#This Row],[Nama_Donatur]],Data_Donasi[Nominal])</f>
        <v>47600000</v>
      </c>
    </row>
    <row r="726" spans="1:7" x14ac:dyDescent="0.3">
      <c r="A726" s="14" t="s">
        <v>42</v>
      </c>
      <c r="B726" s="4" t="s">
        <v>142</v>
      </c>
      <c r="C726" s="4" t="s">
        <v>242</v>
      </c>
      <c r="D726" s="9">
        <v>45857</v>
      </c>
      <c r="E726" s="12">
        <v>250000</v>
      </c>
      <c r="F726" t="str" cm="1">
        <f t="array" ref="F726">_xlfn.IFS(G726&lt;5000000, "Bronze", G726&lt;10000000, "Silver", G726&lt;20000000, "Gold", G726&gt;=20000000, "Diamond")</f>
        <v>Diamond</v>
      </c>
      <c r="G726" s="11">
        <f>SUMIF(Data_Donasi[Nama_Donatur],Data_Donasi[[#This Row],[Nama_Donatur]],Data_Donasi[Nominal])</f>
        <v>42100000</v>
      </c>
    </row>
    <row r="727" spans="1:7" x14ac:dyDescent="0.3">
      <c r="A727" s="14" t="s">
        <v>84</v>
      </c>
      <c r="B727" s="4" t="s">
        <v>184</v>
      </c>
      <c r="C727" s="4" t="s">
        <v>284</v>
      </c>
      <c r="D727" s="9">
        <v>45857</v>
      </c>
      <c r="E727" s="12">
        <v>10000000</v>
      </c>
      <c r="F727" t="str" cm="1">
        <f t="array" ref="F727">_xlfn.IFS(G727&lt;5000000, "Bronze", G727&lt;10000000, "Silver", G727&lt;20000000, "Gold", G727&gt;=20000000, "Diamond")</f>
        <v>Diamond</v>
      </c>
      <c r="G727" s="11">
        <f>SUMIF(Data_Donasi[Nama_Donatur],Data_Donasi[[#This Row],[Nama_Donatur]],Data_Donasi[Nominal])</f>
        <v>33150000</v>
      </c>
    </row>
    <row r="728" spans="1:7" x14ac:dyDescent="0.3">
      <c r="A728" s="14" t="s">
        <v>91</v>
      </c>
      <c r="B728" s="4" t="s">
        <v>191</v>
      </c>
      <c r="C728" s="4" t="s">
        <v>291</v>
      </c>
      <c r="D728" s="9">
        <v>45857</v>
      </c>
      <c r="E728" s="12">
        <v>50000</v>
      </c>
      <c r="F728" t="str" cm="1">
        <f t="array" ref="F728">_xlfn.IFS(G728&lt;5000000, "Bronze", G728&lt;10000000, "Silver", G728&lt;20000000, "Gold", G728&gt;=20000000, "Diamond")</f>
        <v>Diamond</v>
      </c>
      <c r="G728" s="11">
        <f>SUMIF(Data_Donasi[Nama_Donatur],Data_Donasi[[#This Row],[Nama_Donatur]],Data_Donasi[Nominal])</f>
        <v>40950000</v>
      </c>
    </row>
    <row r="729" spans="1:7" x14ac:dyDescent="0.3">
      <c r="A729" s="14" t="s">
        <v>38</v>
      </c>
      <c r="B729" s="4" t="s">
        <v>138</v>
      </c>
      <c r="C729" s="4" t="s">
        <v>238</v>
      </c>
      <c r="D729" s="9">
        <v>45858</v>
      </c>
      <c r="E729" s="12">
        <v>3000000</v>
      </c>
      <c r="F729" t="str" cm="1">
        <f t="array" ref="F729">_xlfn.IFS(G729&lt;5000000, "Bronze", G729&lt;10000000, "Silver", G729&lt;20000000, "Gold", G729&gt;=20000000, "Diamond")</f>
        <v>Diamond</v>
      </c>
      <c r="G729" s="11">
        <f>SUMIF(Data_Donasi[Nama_Donatur],Data_Donasi[[#This Row],[Nama_Donatur]],Data_Donasi[Nominal])</f>
        <v>35400000</v>
      </c>
    </row>
    <row r="730" spans="1:7" x14ac:dyDescent="0.3">
      <c r="A730" s="14" t="s">
        <v>57</v>
      </c>
      <c r="B730" s="4" t="s">
        <v>157</v>
      </c>
      <c r="C730" s="4" t="s">
        <v>257</v>
      </c>
      <c r="D730" s="9">
        <v>45858</v>
      </c>
      <c r="E730" s="12">
        <v>500000</v>
      </c>
      <c r="F730" t="str" cm="1">
        <f t="array" ref="F730">_xlfn.IFS(G730&lt;5000000, "Bronze", G730&lt;10000000, "Silver", G730&lt;20000000, "Gold", G730&gt;=20000000, "Diamond")</f>
        <v>Diamond</v>
      </c>
      <c r="G730" s="11">
        <f>SUMIF(Data_Donasi[Nama_Donatur],Data_Donasi[[#This Row],[Nama_Donatur]],Data_Donasi[Nominal])</f>
        <v>30750000</v>
      </c>
    </row>
    <row r="731" spans="1:7" x14ac:dyDescent="0.3">
      <c r="A731" s="14" t="s">
        <v>98</v>
      </c>
      <c r="B731" s="4" t="s">
        <v>198</v>
      </c>
      <c r="C731" s="4" t="s">
        <v>298</v>
      </c>
      <c r="D731" s="9">
        <v>45858</v>
      </c>
      <c r="E731" s="12">
        <v>1000000</v>
      </c>
      <c r="F731" t="str" cm="1">
        <f t="array" ref="F731">_xlfn.IFS(G731&lt;5000000, "Bronze", G731&lt;10000000, "Silver", G731&lt;20000000, "Gold", G731&gt;=20000000, "Diamond")</f>
        <v>Diamond</v>
      </c>
      <c r="G731" s="11">
        <f>SUMIF(Data_Donasi[Nama_Donatur],Data_Donasi[[#This Row],[Nama_Donatur]],Data_Donasi[Nominal])</f>
        <v>36400000</v>
      </c>
    </row>
    <row r="732" spans="1:7" x14ac:dyDescent="0.3">
      <c r="A732" s="14" t="s">
        <v>34</v>
      </c>
      <c r="B732" s="4" t="s">
        <v>134</v>
      </c>
      <c r="C732" s="4" t="s">
        <v>234</v>
      </c>
      <c r="D732" s="9">
        <v>45860</v>
      </c>
      <c r="E732" s="12">
        <v>7000000</v>
      </c>
      <c r="F732" t="str" cm="1">
        <f t="array" ref="F732">_xlfn.IFS(G732&lt;5000000, "Bronze", G732&lt;10000000, "Silver", G732&lt;20000000, "Gold", G732&gt;=20000000, "Diamond")</f>
        <v>Gold</v>
      </c>
      <c r="G732" s="11">
        <f>SUMIF(Data_Donasi[Nama_Donatur],Data_Donasi[[#This Row],[Nama_Donatur]],Data_Donasi[Nominal])</f>
        <v>18400000</v>
      </c>
    </row>
    <row r="733" spans="1:7" x14ac:dyDescent="0.3">
      <c r="A733" s="14" t="s">
        <v>21</v>
      </c>
      <c r="B733" s="4" t="s">
        <v>121</v>
      </c>
      <c r="C733" s="4" t="s">
        <v>221</v>
      </c>
      <c r="D733" s="9">
        <v>45860</v>
      </c>
      <c r="E733" s="12">
        <v>10000000</v>
      </c>
      <c r="F733" t="str" cm="1">
        <f t="array" ref="F733">_xlfn.IFS(G733&lt;5000000, "Bronze", G733&lt;10000000, "Silver", G733&lt;20000000, "Gold", G733&gt;=20000000, "Diamond")</f>
        <v>Diamond</v>
      </c>
      <c r="G733" s="11">
        <f>SUMIF(Data_Donasi[Nama_Donatur],Data_Donasi[[#This Row],[Nama_Donatur]],Data_Donasi[Nominal])</f>
        <v>61950000</v>
      </c>
    </row>
    <row r="734" spans="1:7" x14ac:dyDescent="0.3">
      <c r="A734" s="14" t="s">
        <v>57</v>
      </c>
      <c r="B734" s="4" t="s">
        <v>157</v>
      </c>
      <c r="C734" s="4" t="s">
        <v>257</v>
      </c>
      <c r="D734" s="9">
        <v>45861</v>
      </c>
      <c r="E734" s="12">
        <v>5000000</v>
      </c>
      <c r="F734" t="str" cm="1">
        <f t="array" ref="F734">_xlfn.IFS(G734&lt;5000000, "Bronze", G734&lt;10000000, "Silver", G734&lt;20000000, "Gold", G734&gt;=20000000, "Diamond")</f>
        <v>Diamond</v>
      </c>
      <c r="G734" s="11">
        <f>SUMIF(Data_Donasi[Nama_Donatur],Data_Donasi[[#This Row],[Nama_Donatur]],Data_Donasi[Nominal])</f>
        <v>30750000</v>
      </c>
    </row>
    <row r="735" spans="1:7" x14ac:dyDescent="0.3">
      <c r="A735" s="14" t="s">
        <v>65</v>
      </c>
      <c r="B735" s="4" t="s">
        <v>165</v>
      </c>
      <c r="C735" s="4" t="s">
        <v>265</v>
      </c>
      <c r="D735" s="9">
        <v>45861</v>
      </c>
      <c r="E735" s="12">
        <v>1000000</v>
      </c>
      <c r="F735" t="str" cm="1">
        <f t="array" ref="F735">_xlfn.IFS(G735&lt;5000000, "Bronze", G735&lt;10000000, "Silver", G735&lt;20000000, "Gold", G735&gt;=20000000, "Diamond")</f>
        <v>Diamond</v>
      </c>
      <c r="G735" s="11">
        <f>SUMIF(Data_Donasi[Nama_Donatur],Data_Donasi[[#This Row],[Nama_Donatur]],Data_Donasi[Nominal])</f>
        <v>40750000</v>
      </c>
    </row>
    <row r="736" spans="1:7" x14ac:dyDescent="0.3">
      <c r="A736" s="14" t="s">
        <v>74</v>
      </c>
      <c r="B736" s="4" t="s">
        <v>174</v>
      </c>
      <c r="C736" s="4" t="s">
        <v>274</v>
      </c>
      <c r="D736" s="9">
        <v>45861</v>
      </c>
      <c r="E736" s="12">
        <v>7000000</v>
      </c>
      <c r="F736" t="str" cm="1">
        <f t="array" ref="F736">_xlfn.IFS(G736&lt;5000000, "Bronze", G736&lt;10000000, "Silver", G736&lt;20000000, "Gold", G736&gt;=20000000, "Diamond")</f>
        <v>Diamond</v>
      </c>
      <c r="G736" s="11">
        <f>SUMIF(Data_Donasi[Nama_Donatur],Data_Donasi[[#This Row],[Nama_Donatur]],Data_Donasi[Nominal])</f>
        <v>57450000</v>
      </c>
    </row>
    <row r="737" spans="1:7" x14ac:dyDescent="0.3">
      <c r="A737" s="14" t="s">
        <v>71</v>
      </c>
      <c r="B737" s="4" t="s">
        <v>171</v>
      </c>
      <c r="C737" s="4" t="s">
        <v>271</v>
      </c>
      <c r="D737" s="9">
        <v>45861</v>
      </c>
      <c r="E737" s="12">
        <v>50000</v>
      </c>
      <c r="F737" t="str" cm="1">
        <f t="array" ref="F737">_xlfn.IFS(G737&lt;5000000, "Bronze", G737&lt;10000000, "Silver", G737&lt;20000000, "Gold", G737&gt;=20000000, "Diamond")</f>
        <v>Gold</v>
      </c>
      <c r="G737" s="11">
        <f>SUMIF(Data_Donasi[Nama_Donatur],Data_Donasi[[#This Row],[Nama_Donatur]],Data_Donasi[Nominal])</f>
        <v>15200000</v>
      </c>
    </row>
    <row r="738" spans="1:7" x14ac:dyDescent="0.3">
      <c r="A738" s="14" t="s">
        <v>57</v>
      </c>
      <c r="B738" s="4" t="s">
        <v>157</v>
      </c>
      <c r="C738" s="4" t="s">
        <v>257</v>
      </c>
      <c r="D738" s="9">
        <v>45861</v>
      </c>
      <c r="E738" s="12">
        <v>7000000</v>
      </c>
      <c r="F738" t="str" cm="1">
        <f t="array" ref="F738">_xlfn.IFS(G738&lt;5000000, "Bronze", G738&lt;10000000, "Silver", G738&lt;20000000, "Gold", G738&gt;=20000000, "Diamond")</f>
        <v>Diamond</v>
      </c>
      <c r="G738" s="11">
        <f>SUMIF(Data_Donasi[Nama_Donatur],Data_Donasi[[#This Row],[Nama_Donatur]],Data_Donasi[Nominal])</f>
        <v>30750000</v>
      </c>
    </row>
    <row r="739" spans="1:7" x14ac:dyDescent="0.3">
      <c r="A739" s="14" t="s">
        <v>33</v>
      </c>
      <c r="B739" s="4" t="s">
        <v>133</v>
      </c>
      <c r="C739" s="4" t="s">
        <v>233</v>
      </c>
      <c r="D739" s="9">
        <v>45861</v>
      </c>
      <c r="E739" s="12">
        <v>2000000</v>
      </c>
      <c r="F739" t="str" cm="1">
        <f t="array" ref="F739">_xlfn.IFS(G739&lt;5000000, "Bronze", G739&lt;10000000, "Silver", G739&lt;20000000, "Gold", G739&gt;=20000000, "Diamond")</f>
        <v>Diamond</v>
      </c>
      <c r="G739" s="11">
        <f>SUMIF(Data_Donasi[Nama_Donatur],Data_Donasi[[#This Row],[Nama_Donatur]],Data_Donasi[Nominal])</f>
        <v>56850000</v>
      </c>
    </row>
    <row r="740" spans="1:7" x14ac:dyDescent="0.3">
      <c r="A740" s="14" t="s">
        <v>56</v>
      </c>
      <c r="B740" s="4" t="s">
        <v>156</v>
      </c>
      <c r="C740" s="4" t="s">
        <v>256</v>
      </c>
      <c r="D740" s="9">
        <v>45862</v>
      </c>
      <c r="E740" s="12">
        <v>250000</v>
      </c>
      <c r="F740" t="str" cm="1">
        <f t="array" ref="F740">_xlfn.IFS(G740&lt;5000000, "Bronze", G740&lt;10000000, "Silver", G740&lt;20000000, "Gold", G740&gt;=20000000, "Diamond")</f>
        <v>Diamond</v>
      </c>
      <c r="G740" s="11">
        <f>SUMIF(Data_Donasi[Nama_Donatur],Data_Donasi[[#This Row],[Nama_Donatur]],Data_Donasi[Nominal])</f>
        <v>49000000</v>
      </c>
    </row>
    <row r="741" spans="1:7" x14ac:dyDescent="0.3">
      <c r="A741" s="14" t="s">
        <v>30</v>
      </c>
      <c r="B741" s="4" t="s">
        <v>130</v>
      </c>
      <c r="C741" s="4" t="s">
        <v>230</v>
      </c>
      <c r="D741" s="9">
        <v>45862</v>
      </c>
      <c r="E741" s="12">
        <v>20000000</v>
      </c>
      <c r="F741" t="str" cm="1">
        <f t="array" ref="F741">_xlfn.IFS(G741&lt;5000000, "Bronze", G741&lt;10000000, "Silver", G741&lt;20000000, "Gold", G741&gt;=20000000, "Diamond")</f>
        <v>Diamond</v>
      </c>
      <c r="G741" s="11">
        <f>SUMIF(Data_Donasi[Nama_Donatur],Data_Donasi[[#This Row],[Nama_Donatur]],Data_Donasi[Nominal])</f>
        <v>135600000</v>
      </c>
    </row>
    <row r="742" spans="1:7" x14ac:dyDescent="0.3">
      <c r="A742" s="14" t="s">
        <v>34</v>
      </c>
      <c r="B742" s="4" t="s">
        <v>134</v>
      </c>
      <c r="C742" s="4" t="s">
        <v>234</v>
      </c>
      <c r="D742" s="9">
        <v>45862</v>
      </c>
      <c r="E742" s="12">
        <v>2000000</v>
      </c>
      <c r="F742" t="str" cm="1">
        <f t="array" ref="F742">_xlfn.IFS(G742&lt;5000000, "Bronze", G742&lt;10000000, "Silver", G742&lt;20000000, "Gold", G742&gt;=20000000, "Diamond")</f>
        <v>Gold</v>
      </c>
      <c r="G742" s="11">
        <f>SUMIF(Data_Donasi[Nama_Donatur],Data_Donasi[[#This Row],[Nama_Donatur]],Data_Donasi[Nominal])</f>
        <v>18400000</v>
      </c>
    </row>
    <row r="743" spans="1:7" x14ac:dyDescent="0.3">
      <c r="A743" s="14" t="s">
        <v>62</v>
      </c>
      <c r="B743" s="4" t="s">
        <v>162</v>
      </c>
      <c r="C743" s="4" t="s">
        <v>262</v>
      </c>
      <c r="D743" s="9">
        <v>45862</v>
      </c>
      <c r="E743" s="12">
        <v>5000000</v>
      </c>
      <c r="F743" t="str" cm="1">
        <f t="array" ref="F743">_xlfn.IFS(G743&lt;5000000, "Bronze", G743&lt;10000000, "Silver", G743&lt;20000000, "Gold", G743&gt;=20000000, "Diamond")</f>
        <v>Silver</v>
      </c>
      <c r="G743" s="11">
        <f>SUMIF(Data_Donasi[Nama_Donatur],Data_Donasi[[#This Row],[Nama_Donatur]],Data_Donasi[Nominal])</f>
        <v>7850000</v>
      </c>
    </row>
    <row r="744" spans="1:7" x14ac:dyDescent="0.3">
      <c r="A744" s="14" t="s">
        <v>42</v>
      </c>
      <c r="B744" s="4" t="s">
        <v>142</v>
      </c>
      <c r="C744" s="4" t="s">
        <v>242</v>
      </c>
      <c r="D744" s="9">
        <v>45863</v>
      </c>
      <c r="E744" s="12">
        <v>20000000</v>
      </c>
      <c r="F744" t="str" cm="1">
        <f t="array" ref="F744">_xlfn.IFS(G744&lt;5000000, "Bronze", G744&lt;10000000, "Silver", G744&lt;20000000, "Gold", G744&gt;=20000000, "Diamond")</f>
        <v>Diamond</v>
      </c>
      <c r="G744" s="11">
        <f>SUMIF(Data_Donasi[Nama_Donatur],Data_Donasi[[#This Row],[Nama_Donatur]],Data_Donasi[Nominal])</f>
        <v>42100000</v>
      </c>
    </row>
    <row r="745" spans="1:7" x14ac:dyDescent="0.3">
      <c r="A745" s="14" t="s">
        <v>82</v>
      </c>
      <c r="B745" s="4" t="s">
        <v>182</v>
      </c>
      <c r="C745" s="4" t="s">
        <v>282</v>
      </c>
      <c r="D745" s="9">
        <v>45863</v>
      </c>
      <c r="E745" s="12">
        <v>7000000</v>
      </c>
      <c r="F745" t="str" cm="1">
        <f t="array" ref="F745">_xlfn.IFS(G745&lt;5000000, "Bronze", G745&lt;10000000, "Silver", G745&lt;20000000, "Gold", G745&gt;=20000000, "Diamond")</f>
        <v>Diamond</v>
      </c>
      <c r="G745" s="11">
        <f>SUMIF(Data_Donasi[Nama_Donatur],Data_Donasi[[#This Row],[Nama_Donatur]],Data_Donasi[Nominal])</f>
        <v>63700000</v>
      </c>
    </row>
    <row r="746" spans="1:7" x14ac:dyDescent="0.3">
      <c r="A746" s="14" t="s">
        <v>17</v>
      </c>
      <c r="B746" s="4" t="s">
        <v>117</v>
      </c>
      <c r="C746" s="4" t="s">
        <v>217</v>
      </c>
      <c r="D746" s="9">
        <v>45863</v>
      </c>
      <c r="E746" s="12">
        <v>50000</v>
      </c>
      <c r="F746" t="str" cm="1">
        <f t="array" ref="F746">_xlfn.IFS(G746&lt;5000000, "Bronze", G746&lt;10000000, "Silver", G746&lt;20000000, "Gold", G746&gt;=20000000, "Diamond")</f>
        <v>Diamond</v>
      </c>
      <c r="G746" s="11">
        <f>SUMIF(Data_Donasi[Nama_Donatur],Data_Donasi[[#This Row],[Nama_Donatur]],Data_Donasi[Nominal])</f>
        <v>86000000</v>
      </c>
    </row>
    <row r="747" spans="1:7" x14ac:dyDescent="0.3">
      <c r="A747" s="14" t="s">
        <v>16</v>
      </c>
      <c r="B747" s="4" t="s">
        <v>116</v>
      </c>
      <c r="C747" s="4" t="s">
        <v>216</v>
      </c>
      <c r="D747" s="9">
        <v>45863</v>
      </c>
      <c r="E747" s="12">
        <v>20000000</v>
      </c>
      <c r="F747" t="str" cm="1">
        <f t="array" ref="F747">_xlfn.IFS(G747&lt;5000000, "Bronze", G747&lt;10000000, "Silver", G747&lt;20000000, "Gold", G747&gt;=20000000, "Diamond")</f>
        <v>Diamond</v>
      </c>
      <c r="G747" s="11">
        <f>SUMIF(Data_Donasi[Nama_Donatur],Data_Donasi[[#This Row],[Nama_Donatur]],Data_Donasi[Nominal])</f>
        <v>48350000</v>
      </c>
    </row>
    <row r="748" spans="1:7" x14ac:dyDescent="0.3">
      <c r="A748" s="14" t="s">
        <v>68</v>
      </c>
      <c r="B748" s="4" t="s">
        <v>168</v>
      </c>
      <c r="C748" s="4" t="s">
        <v>268</v>
      </c>
      <c r="D748" s="9">
        <v>45863</v>
      </c>
      <c r="E748" s="12">
        <v>3000000</v>
      </c>
      <c r="F748" t="str" cm="1">
        <f t="array" ref="F748">_xlfn.IFS(G748&lt;5000000, "Bronze", G748&lt;10000000, "Silver", G748&lt;20000000, "Gold", G748&gt;=20000000, "Diamond")</f>
        <v>Diamond</v>
      </c>
      <c r="G748" s="11">
        <f>SUMIF(Data_Donasi[Nama_Donatur],Data_Donasi[[#This Row],[Nama_Donatur]],Data_Donasi[Nominal])</f>
        <v>24500000</v>
      </c>
    </row>
    <row r="749" spans="1:7" x14ac:dyDescent="0.3">
      <c r="A749" s="14" t="s">
        <v>17</v>
      </c>
      <c r="B749" s="4" t="s">
        <v>117</v>
      </c>
      <c r="C749" s="4" t="s">
        <v>217</v>
      </c>
      <c r="D749" s="9">
        <v>45863</v>
      </c>
      <c r="E749" s="12">
        <v>1000000</v>
      </c>
      <c r="F749" t="str" cm="1">
        <f t="array" ref="F749">_xlfn.IFS(G749&lt;5000000, "Bronze", G749&lt;10000000, "Silver", G749&lt;20000000, "Gold", G749&gt;=20000000, "Diamond")</f>
        <v>Diamond</v>
      </c>
      <c r="G749" s="11">
        <f>SUMIF(Data_Donasi[Nama_Donatur],Data_Donasi[[#This Row],[Nama_Donatur]],Data_Donasi[Nominal])</f>
        <v>86000000</v>
      </c>
    </row>
    <row r="750" spans="1:7" x14ac:dyDescent="0.3">
      <c r="A750" s="14" t="s">
        <v>75</v>
      </c>
      <c r="B750" s="4" t="s">
        <v>175</v>
      </c>
      <c r="C750" s="4" t="s">
        <v>275</v>
      </c>
      <c r="D750" s="9">
        <v>45864</v>
      </c>
      <c r="E750" s="12">
        <v>5000000</v>
      </c>
      <c r="F750" t="str" cm="1">
        <f t="array" ref="F750">_xlfn.IFS(G750&lt;5000000, "Bronze", G750&lt;10000000, "Silver", G750&lt;20000000, "Gold", G750&gt;=20000000, "Diamond")</f>
        <v>Diamond</v>
      </c>
      <c r="G750" s="11">
        <f>SUMIF(Data_Donasi[Nama_Donatur],Data_Donasi[[#This Row],[Nama_Donatur]],Data_Donasi[Nominal])</f>
        <v>44400000</v>
      </c>
    </row>
    <row r="751" spans="1:7" x14ac:dyDescent="0.3">
      <c r="A751" s="14" t="s">
        <v>73</v>
      </c>
      <c r="B751" s="4" t="s">
        <v>173</v>
      </c>
      <c r="C751" s="4" t="s">
        <v>273</v>
      </c>
      <c r="D751" s="9">
        <v>45864</v>
      </c>
      <c r="E751" s="12">
        <v>200000</v>
      </c>
      <c r="F751" t="str" cm="1">
        <f t="array" ref="F751">_xlfn.IFS(G751&lt;5000000, "Bronze", G751&lt;10000000, "Silver", G751&lt;20000000, "Gold", G751&gt;=20000000, "Diamond")</f>
        <v>Diamond</v>
      </c>
      <c r="G751" s="11">
        <f>SUMIF(Data_Donasi[Nama_Donatur],Data_Donasi[[#This Row],[Nama_Donatur]],Data_Donasi[Nominal])</f>
        <v>28750000</v>
      </c>
    </row>
    <row r="752" spans="1:7" x14ac:dyDescent="0.3">
      <c r="A752" s="14" t="s">
        <v>15</v>
      </c>
      <c r="B752" s="4" t="s">
        <v>115</v>
      </c>
      <c r="C752" s="4" t="s">
        <v>215</v>
      </c>
      <c r="D752" s="9">
        <v>45864</v>
      </c>
      <c r="E752" s="12">
        <v>2000000</v>
      </c>
      <c r="F752" t="str" cm="1">
        <f t="array" ref="F752">_xlfn.IFS(G752&lt;5000000, "Bronze", G752&lt;10000000, "Silver", G752&lt;20000000, "Gold", G752&gt;=20000000, "Diamond")</f>
        <v>Diamond</v>
      </c>
      <c r="G752" s="11">
        <f>SUMIF(Data_Donasi[Nama_Donatur],Data_Donasi[[#This Row],[Nama_Donatur]],Data_Donasi[Nominal])</f>
        <v>84750000</v>
      </c>
    </row>
    <row r="753" spans="1:7" x14ac:dyDescent="0.3">
      <c r="A753" s="14" t="s">
        <v>35</v>
      </c>
      <c r="B753" s="4" t="s">
        <v>135</v>
      </c>
      <c r="C753" s="4" t="s">
        <v>235</v>
      </c>
      <c r="D753" s="9">
        <v>45864</v>
      </c>
      <c r="E753" s="12">
        <v>2000000</v>
      </c>
      <c r="F753" t="str" cm="1">
        <f t="array" ref="F753">_xlfn.IFS(G753&lt;5000000, "Bronze", G753&lt;10000000, "Silver", G753&lt;20000000, "Gold", G753&gt;=20000000, "Diamond")</f>
        <v>Diamond</v>
      </c>
      <c r="G753" s="11">
        <f>SUMIF(Data_Donasi[Nama_Donatur],Data_Donasi[[#This Row],[Nama_Donatur]],Data_Donasi[Nominal])</f>
        <v>97200000</v>
      </c>
    </row>
    <row r="754" spans="1:7" x14ac:dyDescent="0.3">
      <c r="A754" s="14" t="s">
        <v>60</v>
      </c>
      <c r="B754" s="4" t="s">
        <v>160</v>
      </c>
      <c r="C754" s="4" t="s">
        <v>260</v>
      </c>
      <c r="D754" s="9">
        <v>45865</v>
      </c>
      <c r="E754" s="12">
        <v>50000</v>
      </c>
      <c r="F754" t="str" cm="1">
        <f t="array" ref="F754">_xlfn.IFS(G754&lt;5000000, "Bronze", G754&lt;10000000, "Silver", G754&lt;20000000, "Gold", G754&gt;=20000000, "Diamond")</f>
        <v>Silver</v>
      </c>
      <c r="G754" s="11">
        <f>SUMIF(Data_Donasi[Nama_Donatur],Data_Donasi[[#This Row],[Nama_Donatur]],Data_Donasi[Nominal])</f>
        <v>9150000</v>
      </c>
    </row>
    <row r="755" spans="1:7" x14ac:dyDescent="0.3">
      <c r="A755" s="14" t="s">
        <v>10</v>
      </c>
      <c r="B755" s="4" t="s">
        <v>110</v>
      </c>
      <c r="C755" s="4" t="s">
        <v>210</v>
      </c>
      <c r="D755" s="9">
        <v>45866</v>
      </c>
      <c r="E755" s="12">
        <v>7000000</v>
      </c>
      <c r="F755" t="str" cm="1">
        <f t="array" ref="F755">_xlfn.IFS(G755&lt;5000000, "Bronze", G755&lt;10000000, "Silver", G755&lt;20000000, "Gold", G755&gt;=20000000, "Diamond")</f>
        <v>Diamond</v>
      </c>
      <c r="G755" s="11">
        <f>SUMIF(Data_Donasi[Nama_Donatur],Data_Donasi[[#This Row],[Nama_Donatur]],Data_Donasi[Nominal])</f>
        <v>36200000</v>
      </c>
    </row>
    <row r="756" spans="1:7" x14ac:dyDescent="0.3">
      <c r="A756" s="14" t="s">
        <v>37</v>
      </c>
      <c r="B756" s="4" t="s">
        <v>137</v>
      </c>
      <c r="C756" s="4" t="s">
        <v>237</v>
      </c>
      <c r="D756" s="9">
        <v>45867</v>
      </c>
      <c r="E756" s="12">
        <v>200000</v>
      </c>
      <c r="F756" t="str" cm="1">
        <f t="array" ref="F756">_xlfn.IFS(G756&lt;5000000, "Bronze", G756&lt;10000000, "Silver", G756&lt;20000000, "Gold", G756&gt;=20000000, "Diamond")</f>
        <v>Diamond</v>
      </c>
      <c r="G756" s="11">
        <f>SUMIF(Data_Donasi[Nama_Donatur],Data_Donasi[[#This Row],[Nama_Donatur]],Data_Donasi[Nominal])</f>
        <v>26200000</v>
      </c>
    </row>
    <row r="757" spans="1:7" x14ac:dyDescent="0.3">
      <c r="A757" s="14" t="s">
        <v>25</v>
      </c>
      <c r="B757" s="4" t="s">
        <v>125</v>
      </c>
      <c r="C757" s="4" t="s">
        <v>225</v>
      </c>
      <c r="D757" s="9">
        <v>45867</v>
      </c>
      <c r="E757" s="12">
        <v>7000000</v>
      </c>
      <c r="F757" t="str" cm="1">
        <f t="array" ref="F757">_xlfn.IFS(G757&lt;5000000, "Bronze", G757&lt;10000000, "Silver", G757&lt;20000000, "Gold", G757&gt;=20000000, "Diamond")</f>
        <v>Diamond</v>
      </c>
      <c r="G757" s="11">
        <f>SUMIF(Data_Donasi[Nama_Donatur],Data_Donasi[[#This Row],[Nama_Donatur]],Data_Donasi[Nominal])</f>
        <v>41700000</v>
      </c>
    </row>
    <row r="758" spans="1:7" x14ac:dyDescent="0.3">
      <c r="A758" s="14" t="s">
        <v>14</v>
      </c>
      <c r="B758" s="4" t="s">
        <v>114</v>
      </c>
      <c r="C758" s="4" t="s">
        <v>214</v>
      </c>
      <c r="D758" s="9">
        <v>45867</v>
      </c>
      <c r="E758" s="12">
        <v>20000000</v>
      </c>
      <c r="F758" t="str" cm="1">
        <f t="array" ref="F758">_xlfn.IFS(G758&lt;5000000, "Bronze", G758&lt;10000000, "Silver", G758&lt;20000000, "Gold", G758&gt;=20000000, "Diamond")</f>
        <v>Diamond</v>
      </c>
      <c r="G758" s="11">
        <f>SUMIF(Data_Donasi[Nama_Donatur],Data_Donasi[[#This Row],[Nama_Donatur]],Data_Donasi[Nominal])</f>
        <v>73750000</v>
      </c>
    </row>
    <row r="759" spans="1:7" x14ac:dyDescent="0.3">
      <c r="A759" s="14" t="s">
        <v>56</v>
      </c>
      <c r="B759" s="4" t="s">
        <v>156</v>
      </c>
      <c r="C759" s="4" t="s">
        <v>256</v>
      </c>
      <c r="D759" s="9">
        <v>45867</v>
      </c>
      <c r="E759" s="12">
        <v>3000000</v>
      </c>
      <c r="F759" t="str" cm="1">
        <f t="array" ref="F759">_xlfn.IFS(G759&lt;5000000, "Bronze", G759&lt;10000000, "Silver", G759&lt;20000000, "Gold", G759&gt;=20000000, "Diamond")</f>
        <v>Diamond</v>
      </c>
      <c r="G759" s="11">
        <f>SUMIF(Data_Donasi[Nama_Donatur],Data_Donasi[[#This Row],[Nama_Donatur]],Data_Donasi[Nominal])</f>
        <v>49000000</v>
      </c>
    </row>
    <row r="760" spans="1:7" x14ac:dyDescent="0.3">
      <c r="A760" s="14" t="s">
        <v>63</v>
      </c>
      <c r="B760" s="4" t="s">
        <v>163</v>
      </c>
      <c r="C760" s="4" t="s">
        <v>263</v>
      </c>
      <c r="D760" s="9">
        <v>45868</v>
      </c>
      <c r="E760" s="12">
        <v>1000000</v>
      </c>
      <c r="F760" t="str" cm="1">
        <f t="array" ref="F760">_xlfn.IFS(G760&lt;5000000, "Bronze", G760&lt;10000000, "Silver", G760&lt;20000000, "Gold", G760&gt;=20000000, "Diamond")</f>
        <v>Gold</v>
      </c>
      <c r="G760" s="11">
        <f>SUMIF(Data_Donasi[Nama_Donatur],Data_Donasi[[#This Row],[Nama_Donatur]],Data_Donasi[Nominal])</f>
        <v>15700000</v>
      </c>
    </row>
    <row r="761" spans="1:7" x14ac:dyDescent="0.3">
      <c r="A761" s="14" t="s">
        <v>94</v>
      </c>
      <c r="B761" s="4" t="s">
        <v>194</v>
      </c>
      <c r="C761" s="4" t="s">
        <v>294</v>
      </c>
      <c r="D761" s="9">
        <v>45868</v>
      </c>
      <c r="E761" s="12">
        <v>10000000</v>
      </c>
      <c r="F761" t="str" cm="1">
        <f t="array" ref="F761">_xlfn.IFS(G761&lt;5000000, "Bronze", G761&lt;10000000, "Silver", G761&lt;20000000, "Gold", G761&gt;=20000000, "Diamond")</f>
        <v>Diamond</v>
      </c>
      <c r="G761" s="11">
        <f>SUMIF(Data_Donasi[Nama_Donatur],Data_Donasi[[#This Row],[Nama_Donatur]],Data_Donasi[Nominal])</f>
        <v>26650000</v>
      </c>
    </row>
    <row r="762" spans="1:7" x14ac:dyDescent="0.3">
      <c r="A762" s="14" t="s">
        <v>16</v>
      </c>
      <c r="B762" s="4" t="s">
        <v>116</v>
      </c>
      <c r="C762" s="4" t="s">
        <v>216</v>
      </c>
      <c r="D762" s="9">
        <v>45868</v>
      </c>
      <c r="E762" s="12">
        <v>7000000</v>
      </c>
      <c r="F762" t="str" cm="1">
        <f t="array" ref="F762">_xlfn.IFS(G762&lt;5000000, "Bronze", G762&lt;10000000, "Silver", G762&lt;20000000, "Gold", G762&gt;=20000000, "Diamond")</f>
        <v>Diamond</v>
      </c>
      <c r="G762" s="11">
        <f>SUMIF(Data_Donasi[Nama_Donatur],Data_Donasi[[#This Row],[Nama_Donatur]],Data_Donasi[Nominal])</f>
        <v>48350000</v>
      </c>
    </row>
    <row r="763" spans="1:7" x14ac:dyDescent="0.3">
      <c r="A763" s="14" t="s">
        <v>69</v>
      </c>
      <c r="B763" s="4" t="s">
        <v>169</v>
      </c>
      <c r="C763" s="4" t="s">
        <v>269</v>
      </c>
      <c r="D763" s="9">
        <v>45869</v>
      </c>
      <c r="E763" s="12">
        <v>20000000</v>
      </c>
      <c r="F763" t="str" cm="1">
        <f t="array" ref="F763">_xlfn.IFS(G763&lt;5000000, "Bronze", G763&lt;10000000, "Silver", G763&lt;20000000, "Gold", G763&gt;=20000000, "Diamond")</f>
        <v>Diamond</v>
      </c>
      <c r="G763" s="11">
        <f>SUMIF(Data_Donasi[Nama_Donatur],Data_Donasi[[#This Row],[Nama_Donatur]],Data_Donasi[Nominal])</f>
        <v>53350000</v>
      </c>
    </row>
    <row r="764" spans="1:7" x14ac:dyDescent="0.3">
      <c r="A764" s="14" t="s">
        <v>34</v>
      </c>
      <c r="B764" s="4" t="s">
        <v>134</v>
      </c>
      <c r="C764" s="4" t="s">
        <v>234</v>
      </c>
      <c r="D764" s="9">
        <v>45869</v>
      </c>
      <c r="E764" s="12">
        <v>100000</v>
      </c>
      <c r="F764" t="str" cm="1">
        <f t="array" ref="F764">_xlfn.IFS(G764&lt;5000000, "Bronze", G764&lt;10000000, "Silver", G764&lt;20000000, "Gold", G764&gt;=20000000, "Diamond")</f>
        <v>Gold</v>
      </c>
      <c r="G764" s="11">
        <f>SUMIF(Data_Donasi[Nama_Donatur],Data_Donasi[[#This Row],[Nama_Donatur]],Data_Donasi[Nominal])</f>
        <v>18400000</v>
      </c>
    </row>
    <row r="765" spans="1:7" x14ac:dyDescent="0.3">
      <c r="A765" s="14" t="s">
        <v>59</v>
      </c>
      <c r="B765" s="4" t="s">
        <v>159</v>
      </c>
      <c r="C765" s="4" t="s">
        <v>259</v>
      </c>
      <c r="D765" s="9">
        <v>45870</v>
      </c>
      <c r="E765" s="12">
        <v>200000</v>
      </c>
      <c r="F765" t="str" cm="1">
        <f t="array" ref="F765">_xlfn.IFS(G765&lt;5000000, "Bronze", G765&lt;10000000, "Silver", G765&lt;20000000, "Gold", G765&gt;=20000000, "Diamond")</f>
        <v>Diamond</v>
      </c>
      <c r="G765" s="11">
        <f>SUMIF(Data_Donasi[Nama_Donatur],Data_Donasi[[#This Row],[Nama_Donatur]],Data_Donasi[Nominal])</f>
        <v>22850000</v>
      </c>
    </row>
    <row r="766" spans="1:7" x14ac:dyDescent="0.3">
      <c r="A766" s="14" t="s">
        <v>78</v>
      </c>
      <c r="B766" s="4" t="s">
        <v>178</v>
      </c>
      <c r="C766" s="4" t="s">
        <v>278</v>
      </c>
      <c r="D766" s="9">
        <v>45870</v>
      </c>
      <c r="E766" s="12">
        <v>50000</v>
      </c>
      <c r="F766" t="str" cm="1">
        <f t="array" ref="F766">_xlfn.IFS(G766&lt;5000000, "Bronze", G766&lt;10000000, "Silver", G766&lt;20000000, "Gold", G766&gt;=20000000, "Diamond")</f>
        <v>Diamond</v>
      </c>
      <c r="G766" s="11">
        <f>SUMIF(Data_Donasi[Nama_Donatur],Data_Donasi[[#This Row],[Nama_Donatur]],Data_Donasi[Nominal])</f>
        <v>115650000</v>
      </c>
    </row>
    <row r="767" spans="1:7" x14ac:dyDescent="0.3">
      <c r="A767" s="14" t="s">
        <v>29</v>
      </c>
      <c r="B767" s="4" t="s">
        <v>129</v>
      </c>
      <c r="C767" s="4" t="s">
        <v>229</v>
      </c>
      <c r="D767" s="9">
        <v>45870</v>
      </c>
      <c r="E767" s="12">
        <v>5000000</v>
      </c>
      <c r="F767" t="str" cm="1">
        <f t="array" ref="F767">_xlfn.IFS(G767&lt;5000000, "Bronze", G767&lt;10000000, "Silver", G767&lt;20000000, "Gold", G767&gt;=20000000, "Diamond")</f>
        <v>Diamond</v>
      </c>
      <c r="G767" s="11">
        <f>SUMIF(Data_Donasi[Nama_Donatur],Data_Donasi[[#This Row],[Nama_Donatur]],Data_Donasi[Nominal])</f>
        <v>30400000</v>
      </c>
    </row>
    <row r="768" spans="1:7" x14ac:dyDescent="0.3">
      <c r="A768" s="14" t="s">
        <v>29</v>
      </c>
      <c r="B768" s="4" t="s">
        <v>129</v>
      </c>
      <c r="C768" s="4" t="s">
        <v>229</v>
      </c>
      <c r="D768" s="9">
        <v>45871</v>
      </c>
      <c r="E768" s="12">
        <v>100000</v>
      </c>
      <c r="F768" t="str" cm="1">
        <f t="array" ref="F768">_xlfn.IFS(G768&lt;5000000, "Bronze", G768&lt;10000000, "Silver", G768&lt;20000000, "Gold", G768&gt;=20000000, "Diamond")</f>
        <v>Diamond</v>
      </c>
      <c r="G768" s="11">
        <f>SUMIF(Data_Donasi[Nama_Donatur],Data_Donasi[[#This Row],[Nama_Donatur]],Data_Donasi[Nominal])</f>
        <v>30400000</v>
      </c>
    </row>
    <row r="769" spans="1:7" x14ac:dyDescent="0.3">
      <c r="A769" s="14" t="s">
        <v>37</v>
      </c>
      <c r="B769" s="4" t="s">
        <v>137</v>
      </c>
      <c r="C769" s="4" t="s">
        <v>237</v>
      </c>
      <c r="D769" s="9">
        <v>45871</v>
      </c>
      <c r="E769" s="12">
        <v>3000000</v>
      </c>
      <c r="F769" t="str" cm="1">
        <f t="array" ref="F769">_xlfn.IFS(G769&lt;5000000, "Bronze", G769&lt;10000000, "Silver", G769&lt;20000000, "Gold", G769&gt;=20000000, "Diamond")</f>
        <v>Diamond</v>
      </c>
      <c r="G769" s="11">
        <f>SUMIF(Data_Donasi[Nama_Donatur],Data_Donasi[[#This Row],[Nama_Donatur]],Data_Donasi[Nominal])</f>
        <v>26200000</v>
      </c>
    </row>
    <row r="770" spans="1:7" x14ac:dyDescent="0.3">
      <c r="A770" s="14" t="s">
        <v>18</v>
      </c>
      <c r="B770" s="4" t="s">
        <v>118</v>
      </c>
      <c r="C770" s="4" t="s">
        <v>218</v>
      </c>
      <c r="D770" s="9">
        <v>45871</v>
      </c>
      <c r="E770" s="12">
        <v>7000000</v>
      </c>
      <c r="F770" t="str" cm="1">
        <f t="array" ref="F770">_xlfn.IFS(G770&lt;5000000, "Bronze", G770&lt;10000000, "Silver", G770&lt;20000000, "Gold", G770&gt;=20000000, "Diamond")</f>
        <v>Diamond</v>
      </c>
      <c r="G770" s="11">
        <f>SUMIF(Data_Donasi[Nama_Donatur],Data_Donasi[[#This Row],[Nama_Donatur]],Data_Donasi[Nominal])</f>
        <v>30000000</v>
      </c>
    </row>
    <row r="771" spans="1:7" x14ac:dyDescent="0.3">
      <c r="A771" s="14" t="s">
        <v>30</v>
      </c>
      <c r="B771" s="4" t="s">
        <v>130</v>
      </c>
      <c r="C771" s="4" t="s">
        <v>230</v>
      </c>
      <c r="D771" s="9">
        <v>45871</v>
      </c>
      <c r="E771" s="12">
        <v>20000000</v>
      </c>
      <c r="F771" t="str" cm="1">
        <f t="array" ref="F771">_xlfn.IFS(G771&lt;5000000, "Bronze", G771&lt;10000000, "Silver", G771&lt;20000000, "Gold", G771&gt;=20000000, "Diamond")</f>
        <v>Diamond</v>
      </c>
      <c r="G771" s="11">
        <f>SUMIF(Data_Donasi[Nama_Donatur],Data_Donasi[[#This Row],[Nama_Donatur]],Data_Donasi[Nominal])</f>
        <v>135600000</v>
      </c>
    </row>
    <row r="772" spans="1:7" x14ac:dyDescent="0.3">
      <c r="A772" s="14" t="s">
        <v>26</v>
      </c>
      <c r="B772" s="4" t="s">
        <v>126</v>
      </c>
      <c r="C772" s="4" t="s">
        <v>226</v>
      </c>
      <c r="D772" s="9">
        <v>45871</v>
      </c>
      <c r="E772" s="12">
        <v>200000</v>
      </c>
      <c r="F772" t="str" cm="1">
        <f t="array" ref="F772">_xlfn.IFS(G772&lt;5000000, "Bronze", G772&lt;10000000, "Silver", G772&lt;20000000, "Gold", G772&gt;=20000000, "Diamond")</f>
        <v>Diamond</v>
      </c>
      <c r="G772" s="11">
        <f>SUMIF(Data_Donasi[Nama_Donatur],Data_Donasi[[#This Row],[Nama_Donatur]],Data_Donasi[Nominal])</f>
        <v>46450000</v>
      </c>
    </row>
    <row r="773" spans="1:7" x14ac:dyDescent="0.3">
      <c r="A773" s="14" t="s">
        <v>75</v>
      </c>
      <c r="B773" s="4" t="s">
        <v>175</v>
      </c>
      <c r="C773" s="4" t="s">
        <v>275</v>
      </c>
      <c r="D773" s="9">
        <v>45872</v>
      </c>
      <c r="E773" s="12">
        <v>200000</v>
      </c>
      <c r="F773" t="str" cm="1">
        <f t="array" ref="F773">_xlfn.IFS(G773&lt;5000000, "Bronze", G773&lt;10000000, "Silver", G773&lt;20000000, "Gold", G773&gt;=20000000, "Diamond")</f>
        <v>Diamond</v>
      </c>
      <c r="G773" s="11">
        <f>SUMIF(Data_Donasi[Nama_Donatur],Data_Donasi[[#This Row],[Nama_Donatur]],Data_Donasi[Nominal])</f>
        <v>44400000</v>
      </c>
    </row>
    <row r="774" spans="1:7" x14ac:dyDescent="0.3">
      <c r="A774" s="14" t="s">
        <v>96</v>
      </c>
      <c r="B774" s="4" t="s">
        <v>196</v>
      </c>
      <c r="C774" s="4" t="s">
        <v>296</v>
      </c>
      <c r="D774" s="9">
        <v>45872</v>
      </c>
      <c r="E774" s="12">
        <v>10000000</v>
      </c>
      <c r="F774" t="str" cm="1">
        <f t="array" ref="F774">_xlfn.IFS(G774&lt;5000000, "Bronze", G774&lt;10000000, "Silver", G774&lt;20000000, "Gold", G774&gt;=20000000, "Diamond")</f>
        <v>Diamond</v>
      </c>
      <c r="G774" s="11">
        <f>SUMIF(Data_Donasi[Nama_Donatur],Data_Donasi[[#This Row],[Nama_Donatur]],Data_Donasi[Nominal])</f>
        <v>24200000</v>
      </c>
    </row>
    <row r="775" spans="1:7" x14ac:dyDescent="0.3">
      <c r="A775" s="14" t="s">
        <v>103</v>
      </c>
      <c r="B775" s="4" t="s">
        <v>203</v>
      </c>
      <c r="C775" s="4" t="s">
        <v>303</v>
      </c>
      <c r="D775" s="9">
        <v>45872</v>
      </c>
      <c r="E775" s="12">
        <v>3000000</v>
      </c>
      <c r="F775" t="str" cm="1">
        <f t="array" ref="F775">_xlfn.IFS(G775&lt;5000000, "Bronze", G775&lt;10000000, "Silver", G775&lt;20000000, "Gold", G775&gt;=20000000, "Diamond")</f>
        <v>Diamond</v>
      </c>
      <c r="G775" s="11">
        <f>SUMIF(Data_Donasi[Nama_Donatur],Data_Donasi[[#This Row],[Nama_Donatur]],Data_Donasi[Nominal])</f>
        <v>50550000</v>
      </c>
    </row>
    <row r="776" spans="1:7" x14ac:dyDescent="0.3">
      <c r="A776" s="14" t="s">
        <v>56</v>
      </c>
      <c r="B776" s="4" t="s">
        <v>156</v>
      </c>
      <c r="C776" s="4" t="s">
        <v>256</v>
      </c>
      <c r="D776" s="9">
        <v>45872</v>
      </c>
      <c r="E776" s="12">
        <v>200000</v>
      </c>
      <c r="F776" t="str" cm="1">
        <f t="array" ref="F776">_xlfn.IFS(G776&lt;5000000, "Bronze", G776&lt;10000000, "Silver", G776&lt;20000000, "Gold", G776&gt;=20000000, "Diamond")</f>
        <v>Diamond</v>
      </c>
      <c r="G776" s="11">
        <f>SUMIF(Data_Donasi[Nama_Donatur],Data_Donasi[[#This Row],[Nama_Donatur]],Data_Donasi[Nominal])</f>
        <v>49000000</v>
      </c>
    </row>
    <row r="777" spans="1:7" x14ac:dyDescent="0.3">
      <c r="A777" s="14" t="s">
        <v>19</v>
      </c>
      <c r="B777" s="4" t="s">
        <v>119</v>
      </c>
      <c r="C777" s="4" t="s">
        <v>219</v>
      </c>
      <c r="D777" s="9">
        <v>45873</v>
      </c>
      <c r="E777" s="12">
        <v>5000000</v>
      </c>
      <c r="F777" t="str" cm="1">
        <f t="array" ref="F777">_xlfn.IFS(G777&lt;5000000, "Bronze", G777&lt;10000000, "Silver", G777&lt;20000000, "Gold", G777&gt;=20000000, "Diamond")</f>
        <v>Diamond</v>
      </c>
      <c r="G777" s="11">
        <f>SUMIF(Data_Donasi[Nama_Donatur],Data_Donasi[[#This Row],[Nama_Donatur]],Data_Donasi[Nominal])</f>
        <v>63400000</v>
      </c>
    </row>
    <row r="778" spans="1:7" x14ac:dyDescent="0.3">
      <c r="A778" s="14" t="s">
        <v>47</v>
      </c>
      <c r="B778" s="4" t="s">
        <v>147</v>
      </c>
      <c r="C778" s="4" t="s">
        <v>247</v>
      </c>
      <c r="D778" s="9">
        <v>45873</v>
      </c>
      <c r="E778" s="12">
        <v>20000000</v>
      </c>
      <c r="F778" t="str" cm="1">
        <f t="array" ref="F778">_xlfn.IFS(G778&lt;5000000, "Bronze", G778&lt;10000000, "Silver", G778&lt;20000000, "Gold", G778&gt;=20000000, "Diamond")</f>
        <v>Diamond</v>
      </c>
      <c r="G778" s="11">
        <f>SUMIF(Data_Donasi[Nama_Donatur],Data_Donasi[[#This Row],[Nama_Donatur]],Data_Donasi[Nominal])</f>
        <v>45000000</v>
      </c>
    </row>
    <row r="779" spans="1:7" x14ac:dyDescent="0.3">
      <c r="A779" s="14" t="s">
        <v>78</v>
      </c>
      <c r="B779" s="4" t="s">
        <v>178</v>
      </c>
      <c r="C779" s="4" t="s">
        <v>278</v>
      </c>
      <c r="D779" s="9">
        <v>45873</v>
      </c>
      <c r="E779" s="12">
        <v>5000000</v>
      </c>
      <c r="F779" t="str" cm="1">
        <f t="array" ref="F779">_xlfn.IFS(G779&lt;5000000, "Bronze", G779&lt;10000000, "Silver", G779&lt;20000000, "Gold", G779&gt;=20000000, "Diamond")</f>
        <v>Diamond</v>
      </c>
      <c r="G779" s="11">
        <f>SUMIF(Data_Donasi[Nama_Donatur],Data_Donasi[[#This Row],[Nama_Donatur]],Data_Donasi[Nominal])</f>
        <v>115650000</v>
      </c>
    </row>
    <row r="780" spans="1:7" x14ac:dyDescent="0.3">
      <c r="A780" s="14" t="s">
        <v>17</v>
      </c>
      <c r="B780" s="4" t="s">
        <v>117</v>
      </c>
      <c r="C780" s="4" t="s">
        <v>217</v>
      </c>
      <c r="D780" s="9">
        <v>45874</v>
      </c>
      <c r="E780" s="12">
        <v>7000000</v>
      </c>
      <c r="F780" t="str" cm="1">
        <f t="array" ref="F780">_xlfn.IFS(G780&lt;5000000, "Bronze", G780&lt;10000000, "Silver", G780&lt;20000000, "Gold", G780&gt;=20000000, "Diamond")</f>
        <v>Diamond</v>
      </c>
      <c r="G780" s="11">
        <f>SUMIF(Data_Donasi[Nama_Donatur],Data_Donasi[[#This Row],[Nama_Donatur]],Data_Donasi[Nominal])</f>
        <v>86000000</v>
      </c>
    </row>
    <row r="781" spans="1:7" x14ac:dyDescent="0.3">
      <c r="A781" s="14" t="s">
        <v>6</v>
      </c>
      <c r="B781" s="4" t="s">
        <v>106</v>
      </c>
      <c r="C781" s="4" t="s">
        <v>206</v>
      </c>
      <c r="D781" s="9">
        <v>45874</v>
      </c>
      <c r="E781" s="12">
        <v>200000</v>
      </c>
      <c r="F781" t="str" cm="1">
        <f t="array" ref="F781">_xlfn.IFS(G781&lt;5000000, "Bronze", G781&lt;10000000, "Silver", G781&lt;20000000, "Gold", G781&gt;=20000000, "Diamond")</f>
        <v>Diamond</v>
      </c>
      <c r="G781" s="11">
        <f>SUMIF(Data_Donasi[Nama_Donatur],Data_Donasi[[#This Row],[Nama_Donatur]],Data_Donasi[Nominal])</f>
        <v>47600000</v>
      </c>
    </row>
    <row r="782" spans="1:7" x14ac:dyDescent="0.3">
      <c r="A782" s="14" t="s">
        <v>42</v>
      </c>
      <c r="B782" s="4" t="s">
        <v>142</v>
      </c>
      <c r="C782" s="4" t="s">
        <v>242</v>
      </c>
      <c r="D782" s="9">
        <v>45874</v>
      </c>
      <c r="E782" s="12">
        <v>250000</v>
      </c>
      <c r="F782" t="str" cm="1">
        <f t="array" ref="F782">_xlfn.IFS(G782&lt;5000000, "Bronze", G782&lt;10000000, "Silver", G782&lt;20000000, "Gold", G782&gt;=20000000, "Diamond")</f>
        <v>Diamond</v>
      </c>
      <c r="G782" s="11">
        <f>SUMIF(Data_Donasi[Nama_Donatur],Data_Donasi[[#This Row],[Nama_Donatur]],Data_Donasi[Nominal])</f>
        <v>42100000</v>
      </c>
    </row>
    <row r="783" spans="1:7" x14ac:dyDescent="0.3">
      <c r="A783" s="14" t="s">
        <v>21</v>
      </c>
      <c r="B783" s="4" t="s">
        <v>121</v>
      </c>
      <c r="C783" s="4" t="s">
        <v>221</v>
      </c>
      <c r="D783" s="9">
        <v>45874</v>
      </c>
      <c r="E783" s="12">
        <v>7000000</v>
      </c>
      <c r="F783" t="str" cm="1">
        <f t="array" ref="F783">_xlfn.IFS(G783&lt;5000000, "Bronze", G783&lt;10000000, "Silver", G783&lt;20000000, "Gold", G783&gt;=20000000, "Diamond")</f>
        <v>Diamond</v>
      </c>
      <c r="G783" s="11">
        <f>SUMIF(Data_Donasi[Nama_Donatur],Data_Donasi[[#This Row],[Nama_Donatur]],Data_Donasi[Nominal])</f>
        <v>61950000</v>
      </c>
    </row>
    <row r="784" spans="1:7" x14ac:dyDescent="0.3">
      <c r="A784" s="14" t="s">
        <v>73</v>
      </c>
      <c r="B784" s="4" t="s">
        <v>173</v>
      </c>
      <c r="C784" s="4" t="s">
        <v>273</v>
      </c>
      <c r="D784" s="9">
        <v>45874</v>
      </c>
      <c r="E784" s="12">
        <v>200000</v>
      </c>
      <c r="F784" t="str" cm="1">
        <f t="array" ref="F784">_xlfn.IFS(G784&lt;5000000, "Bronze", G784&lt;10000000, "Silver", G784&lt;20000000, "Gold", G784&gt;=20000000, "Diamond")</f>
        <v>Diamond</v>
      </c>
      <c r="G784" s="11">
        <f>SUMIF(Data_Donasi[Nama_Donatur],Data_Donasi[[#This Row],[Nama_Donatur]],Data_Donasi[Nominal])</f>
        <v>28750000</v>
      </c>
    </row>
    <row r="785" spans="1:7" x14ac:dyDescent="0.3">
      <c r="A785" s="14" t="s">
        <v>14</v>
      </c>
      <c r="B785" s="4" t="s">
        <v>114</v>
      </c>
      <c r="C785" s="4" t="s">
        <v>214</v>
      </c>
      <c r="D785" s="9">
        <v>45875</v>
      </c>
      <c r="E785" s="12">
        <v>200000</v>
      </c>
      <c r="F785" t="str" cm="1">
        <f t="array" ref="F785">_xlfn.IFS(G785&lt;5000000, "Bronze", G785&lt;10000000, "Silver", G785&lt;20000000, "Gold", G785&gt;=20000000, "Diamond")</f>
        <v>Diamond</v>
      </c>
      <c r="G785" s="11">
        <f>SUMIF(Data_Donasi[Nama_Donatur],Data_Donasi[[#This Row],[Nama_Donatur]],Data_Donasi[Nominal])</f>
        <v>73750000</v>
      </c>
    </row>
    <row r="786" spans="1:7" x14ac:dyDescent="0.3">
      <c r="A786" s="14" t="s">
        <v>32</v>
      </c>
      <c r="B786" s="4" t="s">
        <v>132</v>
      </c>
      <c r="C786" s="4" t="s">
        <v>232</v>
      </c>
      <c r="D786" s="9">
        <v>45875</v>
      </c>
      <c r="E786" s="12">
        <v>2000000</v>
      </c>
      <c r="F786" t="str" cm="1">
        <f t="array" ref="F786">_xlfn.IFS(G786&lt;5000000, "Bronze", G786&lt;10000000, "Silver", G786&lt;20000000, "Gold", G786&gt;=20000000, "Diamond")</f>
        <v>Diamond</v>
      </c>
      <c r="G786" s="11">
        <f>SUMIF(Data_Donasi[Nama_Donatur],Data_Donasi[[#This Row],[Nama_Donatur]],Data_Donasi[Nominal])</f>
        <v>23800000</v>
      </c>
    </row>
    <row r="787" spans="1:7" x14ac:dyDescent="0.3">
      <c r="A787" s="14" t="s">
        <v>103</v>
      </c>
      <c r="B787" s="4" t="s">
        <v>203</v>
      </c>
      <c r="C787" s="4" t="s">
        <v>303</v>
      </c>
      <c r="D787" s="9">
        <v>45875</v>
      </c>
      <c r="E787" s="12">
        <v>150000</v>
      </c>
      <c r="F787" t="str" cm="1">
        <f t="array" ref="F787">_xlfn.IFS(G787&lt;5000000, "Bronze", G787&lt;10000000, "Silver", G787&lt;20000000, "Gold", G787&gt;=20000000, "Diamond")</f>
        <v>Diamond</v>
      </c>
      <c r="G787" s="11">
        <f>SUMIF(Data_Donasi[Nama_Donatur],Data_Donasi[[#This Row],[Nama_Donatur]],Data_Donasi[Nominal])</f>
        <v>50550000</v>
      </c>
    </row>
    <row r="788" spans="1:7" x14ac:dyDescent="0.3">
      <c r="A788" s="14" t="s">
        <v>75</v>
      </c>
      <c r="B788" s="4" t="s">
        <v>175</v>
      </c>
      <c r="C788" s="4" t="s">
        <v>275</v>
      </c>
      <c r="D788" s="9">
        <v>45875</v>
      </c>
      <c r="E788" s="12">
        <v>100000</v>
      </c>
      <c r="F788" t="str" cm="1">
        <f t="array" ref="F788">_xlfn.IFS(G788&lt;5000000, "Bronze", G788&lt;10000000, "Silver", G788&lt;20000000, "Gold", G788&gt;=20000000, "Diamond")</f>
        <v>Diamond</v>
      </c>
      <c r="G788" s="11">
        <f>SUMIF(Data_Donasi[Nama_Donatur],Data_Donasi[[#This Row],[Nama_Donatur]],Data_Donasi[Nominal])</f>
        <v>44400000</v>
      </c>
    </row>
    <row r="789" spans="1:7" x14ac:dyDescent="0.3">
      <c r="A789" s="14" t="s">
        <v>56</v>
      </c>
      <c r="B789" s="4" t="s">
        <v>156</v>
      </c>
      <c r="C789" s="4" t="s">
        <v>256</v>
      </c>
      <c r="D789" s="9">
        <v>45875</v>
      </c>
      <c r="E789" s="12">
        <v>500000</v>
      </c>
      <c r="F789" t="str" cm="1">
        <f t="array" ref="F789">_xlfn.IFS(G789&lt;5000000, "Bronze", G789&lt;10000000, "Silver", G789&lt;20000000, "Gold", G789&gt;=20000000, "Diamond")</f>
        <v>Diamond</v>
      </c>
      <c r="G789" s="11">
        <f>SUMIF(Data_Donasi[Nama_Donatur],Data_Donasi[[#This Row],[Nama_Donatur]],Data_Donasi[Nominal])</f>
        <v>49000000</v>
      </c>
    </row>
    <row r="790" spans="1:7" x14ac:dyDescent="0.3">
      <c r="A790" s="14" t="s">
        <v>65</v>
      </c>
      <c r="B790" s="4" t="s">
        <v>165</v>
      </c>
      <c r="C790" s="4" t="s">
        <v>265</v>
      </c>
      <c r="D790" s="9">
        <v>45876</v>
      </c>
      <c r="E790" s="12">
        <v>150000</v>
      </c>
      <c r="F790" t="str" cm="1">
        <f t="array" ref="F790">_xlfn.IFS(G790&lt;5000000, "Bronze", G790&lt;10000000, "Silver", G790&lt;20000000, "Gold", G790&gt;=20000000, "Diamond")</f>
        <v>Diamond</v>
      </c>
      <c r="G790" s="11">
        <f>SUMIF(Data_Donasi[Nama_Donatur],Data_Donasi[[#This Row],[Nama_Donatur]],Data_Donasi[Nominal])</f>
        <v>40750000</v>
      </c>
    </row>
    <row r="791" spans="1:7" x14ac:dyDescent="0.3">
      <c r="A791" s="14" t="s">
        <v>84</v>
      </c>
      <c r="B791" s="4" t="s">
        <v>184</v>
      </c>
      <c r="C791" s="4" t="s">
        <v>284</v>
      </c>
      <c r="D791" s="9">
        <v>45876</v>
      </c>
      <c r="E791" s="12">
        <v>7000000</v>
      </c>
      <c r="F791" t="str" cm="1">
        <f t="array" ref="F791">_xlfn.IFS(G791&lt;5000000, "Bronze", G791&lt;10000000, "Silver", G791&lt;20000000, "Gold", G791&gt;=20000000, "Diamond")</f>
        <v>Diamond</v>
      </c>
      <c r="G791" s="11">
        <f>SUMIF(Data_Donasi[Nama_Donatur],Data_Donasi[[#This Row],[Nama_Donatur]],Data_Donasi[Nominal])</f>
        <v>33150000</v>
      </c>
    </row>
    <row r="792" spans="1:7" x14ac:dyDescent="0.3">
      <c r="A792" s="14" t="s">
        <v>99</v>
      </c>
      <c r="B792" s="4" t="s">
        <v>199</v>
      </c>
      <c r="C792" s="4" t="s">
        <v>299</v>
      </c>
      <c r="D792" s="9">
        <v>45876</v>
      </c>
      <c r="E792" s="12">
        <v>250000</v>
      </c>
      <c r="F792" t="str" cm="1">
        <f t="array" ref="F792">_xlfn.IFS(G792&lt;5000000, "Bronze", G792&lt;10000000, "Silver", G792&lt;20000000, "Gold", G792&gt;=20000000, "Diamond")</f>
        <v>Diamond</v>
      </c>
      <c r="G792" s="11">
        <f>SUMIF(Data_Donasi[Nama_Donatur],Data_Donasi[[#This Row],[Nama_Donatur]],Data_Donasi[Nominal])</f>
        <v>26300000</v>
      </c>
    </row>
    <row r="793" spans="1:7" x14ac:dyDescent="0.3">
      <c r="A793" s="14" t="s">
        <v>30</v>
      </c>
      <c r="B793" s="4" t="s">
        <v>130</v>
      </c>
      <c r="C793" s="4" t="s">
        <v>230</v>
      </c>
      <c r="D793" s="9">
        <v>45876</v>
      </c>
      <c r="E793" s="12">
        <v>3000000</v>
      </c>
      <c r="F793" t="str" cm="1">
        <f t="array" ref="F793">_xlfn.IFS(G793&lt;5000000, "Bronze", G793&lt;10000000, "Silver", G793&lt;20000000, "Gold", G793&gt;=20000000, "Diamond")</f>
        <v>Diamond</v>
      </c>
      <c r="G793" s="11">
        <f>SUMIF(Data_Donasi[Nama_Donatur],Data_Donasi[[#This Row],[Nama_Donatur]],Data_Donasi[Nominal])</f>
        <v>135600000</v>
      </c>
    </row>
    <row r="794" spans="1:7" x14ac:dyDescent="0.3">
      <c r="A794" s="14" t="s">
        <v>14</v>
      </c>
      <c r="B794" s="4" t="s">
        <v>114</v>
      </c>
      <c r="C794" s="4" t="s">
        <v>214</v>
      </c>
      <c r="D794" s="9">
        <v>45877</v>
      </c>
      <c r="E794" s="12">
        <v>2000000</v>
      </c>
      <c r="F794" t="str" cm="1">
        <f t="array" ref="F794">_xlfn.IFS(G794&lt;5000000, "Bronze", G794&lt;10000000, "Silver", G794&lt;20000000, "Gold", G794&gt;=20000000, "Diamond")</f>
        <v>Diamond</v>
      </c>
      <c r="G794" s="11">
        <f>SUMIF(Data_Donasi[Nama_Donatur],Data_Donasi[[#This Row],[Nama_Donatur]],Data_Donasi[Nominal])</f>
        <v>73750000</v>
      </c>
    </row>
    <row r="795" spans="1:7" x14ac:dyDescent="0.3">
      <c r="A795" s="14" t="s">
        <v>69</v>
      </c>
      <c r="B795" s="4" t="s">
        <v>169</v>
      </c>
      <c r="C795" s="4" t="s">
        <v>269</v>
      </c>
      <c r="D795" s="9">
        <v>45878</v>
      </c>
      <c r="E795" s="12">
        <v>10000000</v>
      </c>
      <c r="F795" t="str" cm="1">
        <f t="array" ref="F795">_xlfn.IFS(G795&lt;5000000, "Bronze", G795&lt;10000000, "Silver", G795&lt;20000000, "Gold", G795&gt;=20000000, "Diamond")</f>
        <v>Diamond</v>
      </c>
      <c r="G795" s="11">
        <f>SUMIF(Data_Donasi[Nama_Donatur],Data_Donasi[[#This Row],[Nama_Donatur]],Data_Donasi[Nominal])</f>
        <v>53350000</v>
      </c>
    </row>
    <row r="796" spans="1:7" x14ac:dyDescent="0.3">
      <c r="A796" s="14" t="s">
        <v>93</v>
      </c>
      <c r="B796" s="4" t="s">
        <v>193</v>
      </c>
      <c r="C796" s="4" t="s">
        <v>293</v>
      </c>
      <c r="D796" s="9">
        <v>45878</v>
      </c>
      <c r="E796" s="12">
        <v>3000000</v>
      </c>
      <c r="F796" t="str" cm="1">
        <f t="array" ref="F796">_xlfn.IFS(G796&lt;5000000, "Bronze", G796&lt;10000000, "Silver", G796&lt;20000000, "Gold", G796&gt;=20000000, "Diamond")</f>
        <v>Gold</v>
      </c>
      <c r="G796" s="11">
        <f>SUMIF(Data_Donasi[Nama_Donatur],Data_Donasi[[#This Row],[Nama_Donatur]],Data_Donasi[Nominal])</f>
        <v>19400000</v>
      </c>
    </row>
    <row r="797" spans="1:7" x14ac:dyDescent="0.3">
      <c r="A797" s="14" t="s">
        <v>28</v>
      </c>
      <c r="B797" s="4" t="s">
        <v>128</v>
      </c>
      <c r="C797" s="4" t="s">
        <v>228</v>
      </c>
      <c r="D797" s="9">
        <v>45878</v>
      </c>
      <c r="E797" s="12">
        <v>150000</v>
      </c>
      <c r="F797" t="str" cm="1">
        <f t="array" ref="F797">_xlfn.IFS(G797&lt;5000000, "Bronze", G797&lt;10000000, "Silver", G797&lt;20000000, "Gold", G797&gt;=20000000, "Diamond")</f>
        <v>Diamond</v>
      </c>
      <c r="G797" s="11">
        <f>SUMIF(Data_Donasi[Nama_Donatur],Data_Donasi[[#This Row],[Nama_Donatur]],Data_Donasi[Nominal])</f>
        <v>26900000</v>
      </c>
    </row>
    <row r="798" spans="1:7" x14ac:dyDescent="0.3">
      <c r="A798" s="14" t="s">
        <v>92</v>
      </c>
      <c r="B798" s="4" t="s">
        <v>192</v>
      </c>
      <c r="C798" s="4" t="s">
        <v>292</v>
      </c>
      <c r="D798" s="9">
        <v>45879</v>
      </c>
      <c r="E798" s="12">
        <v>50000</v>
      </c>
      <c r="F798" t="str" cm="1">
        <f t="array" ref="F798">_xlfn.IFS(G798&lt;5000000, "Bronze", G798&lt;10000000, "Silver", G798&lt;20000000, "Gold", G798&gt;=20000000, "Diamond")</f>
        <v>Diamond</v>
      </c>
      <c r="G798" s="11">
        <f>SUMIF(Data_Donasi[Nama_Donatur],Data_Donasi[[#This Row],[Nama_Donatur]],Data_Donasi[Nominal])</f>
        <v>55700000</v>
      </c>
    </row>
    <row r="799" spans="1:7" x14ac:dyDescent="0.3">
      <c r="A799" s="14" t="s">
        <v>95</v>
      </c>
      <c r="B799" s="4" t="s">
        <v>195</v>
      </c>
      <c r="C799" s="4" t="s">
        <v>295</v>
      </c>
      <c r="D799" s="9">
        <v>45879</v>
      </c>
      <c r="E799" s="12">
        <v>1000000</v>
      </c>
      <c r="F799" t="str" cm="1">
        <f t="array" ref="F799">_xlfn.IFS(G799&lt;5000000, "Bronze", G799&lt;10000000, "Silver", G799&lt;20000000, "Gold", G799&gt;=20000000, "Diamond")</f>
        <v>Diamond</v>
      </c>
      <c r="G799" s="11">
        <f>SUMIF(Data_Donasi[Nama_Donatur],Data_Donasi[[#This Row],[Nama_Donatur]],Data_Donasi[Nominal])</f>
        <v>30000000</v>
      </c>
    </row>
    <row r="800" spans="1:7" x14ac:dyDescent="0.3">
      <c r="A800" s="14" t="s">
        <v>57</v>
      </c>
      <c r="B800" s="4" t="s">
        <v>157</v>
      </c>
      <c r="C800" s="4" t="s">
        <v>257</v>
      </c>
      <c r="D800" s="9">
        <v>45879</v>
      </c>
      <c r="E800" s="12">
        <v>50000</v>
      </c>
      <c r="F800" t="str" cm="1">
        <f t="array" ref="F800">_xlfn.IFS(G800&lt;5000000, "Bronze", G800&lt;10000000, "Silver", G800&lt;20000000, "Gold", G800&gt;=20000000, "Diamond")</f>
        <v>Diamond</v>
      </c>
      <c r="G800" s="11">
        <f>SUMIF(Data_Donasi[Nama_Donatur],Data_Donasi[[#This Row],[Nama_Donatur]],Data_Donasi[Nominal])</f>
        <v>30750000</v>
      </c>
    </row>
    <row r="801" spans="1:7" x14ac:dyDescent="0.3">
      <c r="A801" s="14" t="s">
        <v>19</v>
      </c>
      <c r="B801" s="4" t="s">
        <v>119</v>
      </c>
      <c r="C801" s="4" t="s">
        <v>219</v>
      </c>
      <c r="D801" s="9">
        <v>45880</v>
      </c>
      <c r="E801" s="12">
        <v>5000000</v>
      </c>
      <c r="F801" t="str" cm="1">
        <f t="array" ref="F801">_xlfn.IFS(G801&lt;5000000, "Bronze", G801&lt;10000000, "Silver", G801&lt;20000000, "Gold", G801&gt;=20000000, "Diamond")</f>
        <v>Diamond</v>
      </c>
      <c r="G801" s="11">
        <f>SUMIF(Data_Donasi[Nama_Donatur],Data_Donasi[[#This Row],[Nama_Donatur]],Data_Donasi[Nominal])</f>
        <v>63400000</v>
      </c>
    </row>
    <row r="802" spans="1:7" x14ac:dyDescent="0.3">
      <c r="A802" s="14" t="s">
        <v>91</v>
      </c>
      <c r="B802" s="4" t="s">
        <v>191</v>
      </c>
      <c r="C802" s="4" t="s">
        <v>291</v>
      </c>
      <c r="D802" s="9">
        <v>45880</v>
      </c>
      <c r="E802" s="12">
        <v>50000</v>
      </c>
      <c r="F802" t="str" cm="1">
        <f t="array" ref="F802">_xlfn.IFS(G802&lt;5000000, "Bronze", G802&lt;10000000, "Silver", G802&lt;20000000, "Gold", G802&gt;=20000000, "Diamond")</f>
        <v>Diamond</v>
      </c>
      <c r="G802" s="11">
        <f>SUMIF(Data_Donasi[Nama_Donatur],Data_Donasi[[#This Row],[Nama_Donatur]],Data_Donasi[Nominal])</f>
        <v>40950000</v>
      </c>
    </row>
    <row r="803" spans="1:7" x14ac:dyDescent="0.3">
      <c r="A803" s="14" t="s">
        <v>86</v>
      </c>
      <c r="B803" s="4" t="s">
        <v>186</v>
      </c>
      <c r="C803" s="4" t="s">
        <v>286</v>
      </c>
      <c r="D803" s="9">
        <v>45880</v>
      </c>
      <c r="E803" s="12">
        <v>50000</v>
      </c>
      <c r="F803" t="str" cm="1">
        <f t="array" ref="F803">_xlfn.IFS(G803&lt;5000000, "Bronze", G803&lt;10000000, "Silver", G803&lt;20000000, "Gold", G803&gt;=20000000, "Diamond")</f>
        <v>Diamond</v>
      </c>
      <c r="G803" s="11">
        <f>SUMIF(Data_Donasi[Nama_Donatur],Data_Donasi[[#This Row],[Nama_Donatur]],Data_Donasi[Nominal])</f>
        <v>50500000</v>
      </c>
    </row>
    <row r="804" spans="1:7" x14ac:dyDescent="0.3">
      <c r="A804" s="14" t="s">
        <v>14</v>
      </c>
      <c r="B804" s="4" t="s">
        <v>114</v>
      </c>
      <c r="C804" s="4" t="s">
        <v>214</v>
      </c>
      <c r="D804" s="9">
        <v>45880</v>
      </c>
      <c r="E804" s="12">
        <v>3000000</v>
      </c>
      <c r="F804" t="str" cm="1">
        <f t="array" ref="F804">_xlfn.IFS(G804&lt;5000000, "Bronze", G804&lt;10000000, "Silver", G804&lt;20000000, "Gold", G804&gt;=20000000, "Diamond")</f>
        <v>Diamond</v>
      </c>
      <c r="G804" s="11">
        <f>SUMIF(Data_Donasi[Nama_Donatur],Data_Donasi[[#This Row],[Nama_Donatur]],Data_Donasi[Nominal])</f>
        <v>73750000</v>
      </c>
    </row>
    <row r="805" spans="1:7" x14ac:dyDescent="0.3">
      <c r="A805" s="14" t="s">
        <v>103</v>
      </c>
      <c r="B805" s="4" t="s">
        <v>203</v>
      </c>
      <c r="C805" s="4" t="s">
        <v>303</v>
      </c>
      <c r="D805" s="9">
        <v>45880</v>
      </c>
      <c r="E805" s="12">
        <v>50000</v>
      </c>
      <c r="F805" t="str" cm="1">
        <f t="array" ref="F805">_xlfn.IFS(G805&lt;5000000, "Bronze", G805&lt;10000000, "Silver", G805&lt;20000000, "Gold", G805&gt;=20000000, "Diamond")</f>
        <v>Diamond</v>
      </c>
      <c r="G805" s="11">
        <f>SUMIF(Data_Donasi[Nama_Donatur],Data_Donasi[[#This Row],[Nama_Donatur]],Data_Donasi[Nominal])</f>
        <v>50550000</v>
      </c>
    </row>
    <row r="806" spans="1:7" x14ac:dyDescent="0.3">
      <c r="A806" s="14" t="s">
        <v>5</v>
      </c>
      <c r="B806" s="4" t="s">
        <v>105</v>
      </c>
      <c r="C806" s="4" t="s">
        <v>205</v>
      </c>
      <c r="D806" s="9">
        <v>45881</v>
      </c>
      <c r="E806" s="12">
        <v>200000</v>
      </c>
      <c r="F806" t="str" cm="1">
        <f t="array" ref="F806">_xlfn.IFS(G806&lt;5000000, "Bronze", G806&lt;10000000, "Silver", G806&lt;20000000, "Gold", G806&gt;=20000000, "Diamond")</f>
        <v>Diamond</v>
      </c>
      <c r="G806" s="11">
        <f>SUMIF(Data_Donasi[Nama_Donatur],Data_Donasi[[#This Row],[Nama_Donatur]],Data_Donasi[Nominal])</f>
        <v>42050000</v>
      </c>
    </row>
    <row r="807" spans="1:7" x14ac:dyDescent="0.3">
      <c r="A807" s="14" t="s">
        <v>10</v>
      </c>
      <c r="B807" s="4" t="s">
        <v>110</v>
      </c>
      <c r="C807" s="4" t="s">
        <v>210</v>
      </c>
      <c r="D807" s="9">
        <v>45881</v>
      </c>
      <c r="E807" s="12">
        <v>50000</v>
      </c>
      <c r="F807" t="str" cm="1">
        <f t="array" ref="F807">_xlfn.IFS(G807&lt;5000000, "Bronze", G807&lt;10000000, "Silver", G807&lt;20000000, "Gold", G807&gt;=20000000, "Diamond")</f>
        <v>Diamond</v>
      </c>
      <c r="G807" s="11">
        <f>SUMIF(Data_Donasi[Nama_Donatur],Data_Donasi[[#This Row],[Nama_Donatur]],Data_Donasi[Nominal])</f>
        <v>36200000</v>
      </c>
    </row>
    <row r="808" spans="1:7" x14ac:dyDescent="0.3">
      <c r="A808" s="14" t="s">
        <v>50</v>
      </c>
      <c r="B808" s="4" t="s">
        <v>150</v>
      </c>
      <c r="C808" s="4" t="s">
        <v>250</v>
      </c>
      <c r="D808" s="9">
        <v>45881</v>
      </c>
      <c r="E808" s="12">
        <v>250000</v>
      </c>
      <c r="F808" t="str" cm="1">
        <f t="array" ref="F808">_xlfn.IFS(G808&lt;5000000, "Bronze", G808&lt;10000000, "Silver", G808&lt;20000000, "Gold", G808&gt;=20000000, "Diamond")</f>
        <v>Diamond</v>
      </c>
      <c r="G808" s="11">
        <f>SUMIF(Data_Donasi[Nama_Donatur],Data_Donasi[[#This Row],[Nama_Donatur]],Data_Donasi[Nominal])</f>
        <v>39700000</v>
      </c>
    </row>
    <row r="809" spans="1:7" x14ac:dyDescent="0.3">
      <c r="A809" s="14" t="s">
        <v>23</v>
      </c>
      <c r="B809" s="4" t="s">
        <v>123</v>
      </c>
      <c r="C809" s="4" t="s">
        <v>223</v>
      </c>
      <c r="D809" s="9">
        <v>45881</v>
      </c>
      <c r="E809" s="12">
        <v>20000000</v>
      </c>
      <c r="F809" t="str" cm="1">
        <f t="array" ref="F809">_xlfn.IFS(G809&lt;5000000, "Bronze", G809&lt;10000000, "Silver", G809&lt;20000000, "Gold", G809&gt;=20000000, "Diamond")</f>
        <v>Diamond</v>
      </c>
      <c r="G809" s="11">
        <f>SUMIF(Data_Donasi[Nama_Donatur],Data_Donasi[[#This Row],[Nama_Donatur]],Data_Donasi[Nominal])</f>
        <v>55250000</v>
      </c>
    </row>
    <row r="810" spans="1:7" x14ac:dyDescent="0.3">
      <c r="A810" s="14" t="s">
        <v>27</v>
      </c>
      <c r="B810" s="4" t="s">
        <v>127</v>
      </c>
      <c r="C810" s="4" t="s">
        <v>227</v>
      </c>
      <c r="D810" s="9">
        <v>45881</v>
      </c>
      <c r="E810" s="12">
        <v>10000000</v>
      </c>
      <c r="F810" t="str" cm="1">
        <f t="array" ref="F810">_xlfn.IFS(G810&lt;5000000, "Bronze", G810&lt;10000000, "Silver", G810&lt;20000000, "Gold", G810&gt;=20000000, "Diamond")</f>
        <v>Diamond</v>
      </c>
      <c r="G810" s="11">
        <f>SUMIF(Data_Donasi[Nama_Donatur],Data_Donasi[[#This Row],[Nama_Donatur]],Data_Donasi[Nominal])</f>
        <v>29050000</v>
      </c>
    </row>
    <row r="811" spans="1:7" x14ac:dyDescent="0.3">
      <c r="A811" s="14" t="s">
        <v>15</v>
      </c>
      <c r="B811" s="4" t="s">
        <v>115</v>
      </c>
      <c r="C811" s="4" t="s">
        <v>215</v>
      </c>
      <c r="D811" s="9">
        <v>45882</v>
      </c>
      <c r="E811" s="12">
        <v>5000000</v>
      </c>
      <c r="F811" t="str" cm="1">
        <f t="array" ref="F811">_xlfn.IFS(G811&lt;5000000, "Bronze", G811&lt;10000000, "Silver", G811&lt;20000000, "Gold", G811&gt;=20000000, "Diamond")</f>
        <v>Diamond</v>
      </c>
      <c r="G811" s="11">
        <f>SUMIF(Data_Donasi[Nama_Donatur],Data_Donasi[[#This Row],[Nama_Donatur]],Data_Donasi[Nominal])</f>
        <v>84750000</v>
      </c>
    </row>
    <row r="812" spans="1:7" x14ac:dyDescent="0.3">
      <c r="A812" s="14" t="s">
        <v>48</v>
      </c>
      <c r="B812" s="4" t="s">
        <v>148</v>
      </c>
      <c r="C812" s="4" t="s">
        <v>248</v>
      </c>
      <c r="D812" s="9">
        <v>45882</v>
      </c>
      <c r="E812" s="12">
        <v>3000000</v>
      </c>
      <c r="F812" t="str" cm="1">
        <f t="array" ref="F812">_xlfn.IFS(G812&lt;5000000, "Bronze", G812&lt;10000000, "Silver", G812&lt;20000000, "Gold", G812&gt;=20000000, "Diamond")</f>
        <v>Diamond</v>
      </c>
      <c r="G812" s="11">
        <f>SUMIF(Data_Donasi[Nama_Donatur],Data_Donasi[[#This Row],[Nama_Donatur]],Data_Donasi[Nominal])</f>
        <v>41150000</v>
      </c>
    </row>
    <row r="813" spans="1:7" x14ac:dyDescent="0.3">
      <c r="A813" s="14" t="s">
        <v>11</v>
      </c>
      <c r="B813" s="4" t="s">
        <v>111</v>
      </c>
      <c r="C813" s="4" t="s">
        <v>211</v>
      </c>
      <c r="D813" s="9">
        <v>45882</v>
      </c>
      <c r="E813" s="12">
        <v>500000</v>
      </c>
      <c r="F813" t="str" cm="1">
        <f t="array" ref="F813">_xlfn.IFS(G813&lt;5000000, "Bronze", G813&lt;10000000, "Silver", G813&lt;20000000, "Gold", G813&gt;=20000000, "Diamond")</f>
        <v>Diamond</v>
      </c>
      <c r="G813" s="11">
        <f>SUMIF(Data_Donasi[Nama_Donatur],Data_Donasi[[#This Row],[Nama_Donatur]],Data_Donasi[Nominal])</f>
        <v>26800000</v>
      </c>
    </row>
    <row r="814" spans="1:7" x14ac:dyDescent="0.3">
      <c r="A814" s="14" t="s">
        <v>52</v>
      </c>
      <c r="B814" s="4" t="s">
        <v>152</v>
      </c>
      <c r="C814" s="4" t="s">
        <v>252</v>
      </c>
      <c r="D814" s="9">
        <v>45882</v>
      </c>
      <c r="E814" s="12">
        <v>1000000</v>
      </c>
      <c r="F814" t="str" cm="1">
        <f t="array" ref="F814">_xlfn.IFS(G814&lt;5000000, "Bronze", G814&lt;10000000, "Silver", G814&lt;20000000, "Gold", G814&gt;=20000000, "Diamond")</f>
        <v>Gold</v>
      </c>
      <c r="G814" s="11">
        <f>SUMIF(Data_Donasi[Nama_Donatur],Data_Donasi[[#This Row],[Nama_Donatur]],Data_Donasi[Nominal])</f>
        <v>14000000</v>
      </c>
    </row>
    <row r="815" spans="1:7" x14ac:dyDescent="0.3">
      <c r="A815" s="14" t="s">
        <v>63</v>
      </c>
      <c r="B815" s="4" t="s">
        <v>163</v>
      </c>
      <c r="C815" s="4" t="s">
        <v>263</v>
      </c>
      <c r="D815" s="9">
        <v>45883</v>
      </c>
      <c r="E815" s="12">
        <v>3000000</v>
      </c>
      <c r="F815" t="str" cm="1">
        <f t="array" ref="F815">_xlfn.IFS(G815&lt;5000000, "Bronze", G815&lt;10000000, "Silver", G815&lt;20000000, "Gold", G815&gt;=20000000, "Diamond")</f>
        <v>Gold</v>
      </c>
      <c r="G815" s="11">
        <f>SUMIF(Data_Donasi[Nama_Donatur],Data_Donasi[[#This Row],[Nama_Donatur]],Data_Donasi[Nominal])</f>
        <v>15700000</v>
      </c>
    </row>
    <row r="816" spans="1:7" x14ac:dyDescent="0.3">
      <c r="A816" s="14" t="s">
        <v>32</v>
      </c>
      <c r="B816" s="4" t="s">
        <v>132</v>
      </c>
      <c r="C816" s="4" t="s">
        <v>232</v>
      </c>
      <c r="D816" s="9">
        <v>45883</v>
      </c>
      <c r="E816" s="12">
        <v>200000</v>
      </c>
      <c r="F816" t="str" cm="1">
        <f t="array" ref="F816">_xlfn.IFS(G816&lt;5000000, "Bronze", G816&lt;10000000, "Silver", G816&lt;20000000, "Gold", G816&gt;=20000000, "Diamond")</f>
        <v>Diamond</v>
      </c>
      <c r="G816" s="11">
        <f>SUMIF(Data_Donasi[Nama_Donatur],Data_Donasi[[#This Row],[Nama_Donatur]],Data_Donasi[Nominal])</f>
        <v>23800000</v>
      </c>
    </row>
    <row r="817" spans="1:7" x14ac:dyDescent="0.3">
      <c r="A817" s="14" t="s">
        <v>92</v>
      </c>
      <c r="B817" s="4" t="s">
        <v>192</v>
      </c>
      <c r="C817" s="4" t="s">
        <v>292</v>
      </c>
      <c r="D817" s="9">
        <v>45883</v>
      </c>
      <c r="E817" s="12">
        <v>20000000</v>
      </c>
      <c r="F817" t="str" cm="1">
        <f t="array" ref="F817">_xlfn.IFS(G817&lt;5000000, "Bronze", G817&lt;10000000, "Silver", G817&lt;20000000, "Gold", G817&gt;=20000000, "Diamond")</f>
        <v>Diamond</v>
      </c>
      <c r="G817" s="11">
        <f>SUMIF(Data_Donasi[Nama_Donatur],Data_Donasi[[#This Row],[Nama_Donatur]],Data_Donasi[Nominal])</f>
        <v>55700000</v>
      </c>
    </row>
    <row r="818" spans="1:7" x14ac:dyDescent="0.3">
      <c r="A818" s="14" t="s">
        <v>40</v>
      </c>
      <c r="B818" s="4" t="s">
        <v>140</v>
      </c>
      <c r="C818" s="4" t="s">
        <v>240</v>
      </c>
      <c r="D818" s="9">
        <v>45883</v>
      </c>
      <c r="E818" s="12">
        <v>50000</v>
      </c>
      <c r="F818" t="str" cm="1">
        <f t="array" ref="F818">_xlfn.IFS(G818&lt;5000000, "Bronze", G818&lt;10000000, "Silver", G818&lt;20000000, "Gold", G818&gt;=20000000, "Diamond")</f>
        <v>Diamond</v>
      </c>
      <c r="G818" s="11">
        <f>SUMIF(Data_Donasi[Nama_Donatur],Data_Donasi[[#This Row],[Nama_Donatur]],Data_Donasi[Nominal])</f>
        <v>45950000</v>
      </c>
    </row>
    <row r="819" spans="1:7" x14ac:dyDescent="0.3">
      <c r="A819" s="14" t="s">
        <v>52</v>
      </c>
      <c r="B819" s="4" t="s">
        <v>152</v>
      </c>
      <c r="C819" s="4" t="s">
        <v>252</v>
      </c>
      <c r="D819" s="9">
        <v>45884</v>
      </c>
      <c r="E819" s="12">
        <v>5000000</v>
      </c>
      <c r="F819" t="str" cm="1">
        <f t="array" ref="F819">_xlfn.IFS(G819&lt;5000000, "Bronze", G819&lt;10000000, "Silver", G819&lt;20000000, "Gold", G819&gt;=20000000, "Diamond")</f>
        <v>Gold</v>
      </c>
      <c r="G819" s="11">
        <f>SUMIF(Data_Donasi[Nama_Donatur],Data_Donasi[[#This Row],[Nama_Donatur]],Data_Donasi[Nominal])</f>
        <v>14000000</v>
      </c>
    </row>
    <row r="820" spans="1:7" x14ac:dyDescent="0.3">
      <c r="A820" s="14" t="s">
        <v>41</v>
      </c>
      <c r="B820" s="4" t="s">
        <v>141</v>
      </c>
      <c r="C820" s="4" t="s">
        <v>241</v>
      </c>
      <c r="D820" s="9">
        <v>45884</v>
      </c>
      <c r="E820" s="12">
        <v>500000</v>
      </c>
      <c r="F820" t="str" cm="1">
        <f t="array" ref="F820">_xlfn.IFS(G820&lt;5000000, "Bronze", G820&lt;10000000, "Silver", G820&lt;20000000, "Gold", G820&gt;=20000000, "Diamond")</f>
        <v>Gold</v>
      </c>
      <c r="G820" s="11">
        <f>SUMIF(Data_Donasi[Nama_Donatur],Data_Donasi[[#This Row],[Nama_Donatur]],Data_Donasi[Nominal])</f>
        <v>10400000</v>
      </c>
    </row>
    <row r="821" spans="1:7" x14ac:dyDescent="0.3">
      <c r="A821" s="14" t="s">
        <v>18</v>
      </c>
      <c r="B821" s="4" t="s">
        <v>118</v>
      </c>
      <c r="C821" s="4" t="s">
        <v>218</v>
      </c>
      <c r="D821" s="9">
        <v>45884</v>
      </c>
      <c r="E821" s="12">
        <v>7000000</v>
      </c>
      <c r="F821" t="str" cm="1">
        <f t="array" ref="F821">_xlfn.IFS(G821&lt;5000000, "Bronze", G821&lt;10000000, "Silver", G821&lt;20000000, "Gold", G821&gt;=20000000, "Diamond")</f>
        <v>Diamond</v>
      </c>
      <c r="G821" s="11">
        <f>SUMIF(Data_Donasi[Nama_Donatur],Data_Donasi[[#This Row],[Nama_Donatur]],Data_Donasi[Nominal])</f>
        <v>30000000</v>
      </c>
    </row>
    <row r="822" spans="1:7" x14ac:dyDescent="0.3">
      <c r="A822" s="14" t="s">
        <v>47</v>
      </c>
      <c r="B822" s="4" t="s">
        <v>147</v>
      </c>
      <c r="C822" s="4" t="s">
        <v>247</v>
      </c>
      <c r="D822" s="9">
        <v>45885</v>
      </c>
      <c r="E822" s="12">
        <v>500000</v>
      </c>
      <c r="F822" t="str" cm="1">
        <f t="array" ref="F822">_xlfn.IFS(G822&lt;5000000, "Bronze", G822&lt;10000000, "Silver", G822&lt;20000000, "Gold", G822&gt;=20000000, "Diamond")</f>
        <v>Diamond</v>
      </c>
      <c r="G822" s="11">
        <f>SUMIF(Data_Donasi[Nama_Donatur],Data_Donasi[[#This Row],[Nama_Donatur]],Data_Donasi[Nominal])</f>
        <v>45000000</v>
      </c>
    </row>
    <row r="823" spans="1:7" x14ac:dyDescent="0.3">
      <c r="A823" s="14" t="s">
        <v>16</v>
      </c>
      <c r="B823" s="4" t="s">
        <v>116</v>
      </c>
      <c r="C823" s="4" t="s">
        <v>216</v>
      </c>
      <c r="D823" s="9">
        <v>45885</v>
      </c>
      <c r="E823" s="12">
        <v>200000</v>
      </c>
      <c r="F823" t="str" cm="1">
        <f t="array" ref="F823">_xlfn.IFS(G823&lt;5000000, "Bronze", G823&lt;10000000, "Silver", G823&lt;20000000, "Gold", G823&gt;=20000000, "Diamond")</f>
        <v>Diamond</v>
      </c>
      <c r="G823" s="11">
        <f>SUMIF(Data_Donasi[Nama_Donatur],Data_Donasi[[#This Row],[Nama_Donatur]],Data_Donasi[Nominal])</f>
        <v>48350000</v>
      </c>
    </row>
    <row r="824" spans="1:7" x14ac:dyDescent="0.3">
      <c r="A824" s="14" t="s">
        <v>73</v>
      </c>
      <c r="B824" s="4" t="s">
        <v>173</v>
      </c>
      <c r="C824" s="4" t="s">
        <v>273</v>
      </c>
      <c r="D824" s="9">
        <v>45885</v>
      </c>
      <c r="E824" s="12">
        <v>150000</v>
      </c>
      <c r="F824" t="str" cm="1">
        <f t="array" ref="F824">_xlfn.IFS(G824&lt;5000000, "Bronze", G824&lt;10000000, "Silver", G824&lt;20000000, "Gold", G824&gt;=20000000, "Diamond")</f>
        <v>Diamond</v>
      </c>
      <c r="G824" s="11">
        <f>SUMIF(Data_Donasi[Nama_Donatur],Data_Donasi[[#This Row],[Nama_Donatur]],Data_Donasi[Nominal])</f>
        <v>28750000</v>
      </c>
    </row>
    <row r="825" spans="1:7" x14ac:dyDescent="0.3">
      <c r="A825" s="14" t="s">
        <v>93</v>
      </c>
      <c r="B825" s="4" t="s">
        <v>193</v>
      </c>
      <c r="C825" s="4" t="s">
        <v>293</v>
      </c>
      <c r="D825" s="9">
        <v>45885</v>
      </c>
      <c r="E825" s="12">
        <v>1000000</v>
      </c>
      <c r="F825" t="str" cm="1">
        <f t="array" ref="F825">_xlfn.IFS(G825&lt;5000000, "Bronze", G825&lt;10000000, "Silver", G825&lt;20000000, "Gold", G825&gt;=20000000, "Diamond")</f>
        <v>Gold</v>
      </c>
      <c r="G825" s="11">
        <f>SUMIF(Data_Donasi[Nama_Donatur],Data_Donasi[[#This Row],[Nama_Donatur]],Data_Donasi[Nominal])</f>
        <v>19400000</v>
      </c>
    </row>
    <row r="826" spans="1:7" x14ac:dyDescent="0.3">
      <c r="A826" s="14" t="s">
        <v>31</v>
      </c>
      <c r="B826" s="4" t="s">
        <v>131</v>
      </c>
      <c r="C826" s="4" t="s">
        <v>231</v>
      </c>
      <c r="D826" s="9">
        <v>45885</v>
      </c>
      <c r="E826" s="12">
        <v>2000000</v>
      </c>
      <c r="F826" t="str" cm="1">
        <f t="array" ref="F826">_xlfn.IFS(G826&lt;5000000, "Bronze", G826&lt;10000000, "Silver", G826&lt;20000000, "Gold", G826&gt;=20000000, "Diamond")</f>
        <v>Diamond</v>
      </c>
      <c r="G826" s="11">
        <f>SUMIF(Data_Donasi[Nama_Donatur],Data_Donasi[[#This Row],[Nama_Donatur]],Data_Donasi[Nominal])</f>
        <v>73400000</v>
      </c>
    </row>
    <row r="827" spans="1:7" x14ac:dyDescent="0.3">
      <c r="A827" s="14" t="s">
        <v>78</v>
      </c>
      <c r="B827" s="4" t="s">
        <v>178</v>
      </c>
      <c r="C827" s="4" t="s">
        <v>278</v>
      </c>
      <c r="D827" s="9">
        <v>45885</v>
      </c>
      <c r="E827" s="12">
        <v>250000</v>
      </c>
      <c r="F827" t="str" cm="1">
        <f t="array" ref="F827">_xlfn.IFS(G827&lt;5000000, "Bronze", G827&lt;10000000, "Silver", G827&lt;20000000, "Gold", G827&gt;=20000000, "Diamond")</f>
        <v>Diamond</v>
      </c>
      <c r="G827" s="11">
        <f>SUMIF(Data_Donasi[Nama_Donatur],Data_Donasi[[#This Row],[Nama_Donatur]],Data_Donasi[Nominal])</f>
        <v>115650000</v>
      </c>
    </row>
    <row r="828" spans="1:7" x14ac:dyDescent="0.3">
      <c r="A828" s="14" t="s">
        <v>103</v>
      </c>
      <c r="B828" s="4" t="s">
        <v>203</v>
      </c>
      <c r="C828" s="4" t="s">
        <v>303</v>
      </c>
      <c r="D828" s="9">
        <v>45885</v>
      </c>
      <c r="E828" s="12">
        <v>20000000</v>
      </c>
      <c r="F828" t="str" cm="1">
        <f t="array" ref="F828">_xlfn.IFS(G828&lt;5000000, "Bronze", G828&lt;10000000, "Silver", G828&lt;20000000, "Gold", G828&gt;=20000000, "Diamond")</f>
        <v>Diamond</v>
      </c>
      <c r="G828" s="11">
        <f>SUMIF(Data_Donasi[Nama_Donatur],Data_Donasi[[#This Row],[Nama_Donatur]],Data_Donasi[Nominal])</f>
        <v>50550000</v>
      </c>
    </row>
    <row r="829" spans="1:7" x14ac:dyDescent="0.3">
      <c r="A829" s="14" t="s">
        <v>56</v>
      </c>
      <c r="B829" s="4" t="s">
        <v>156</v>
      </c>
      <c r="C829" s="4" t="s">
        <v>256</v>
      </c>
      <c r="D829" s="9">
        <v>45885</v>
      </c>
      <c r="E829" s="12">
        <v>250000</v>
      </c>
      <c r="F829" t="str" cm="1">
        <f t="array" ref="F829">_xlfn.IFS(G829&lt;5000000, "Bronze", G829&lt;10000000, "Silver", G829&lt;20000000, "Gold", G829&gt;=20000000, "Diamond")</f>
        <v>Diamond</v>
      </c>
      <c r="G829" s="11">
        <f>SUMIF(Data_Donasi[Nama_Donatur],Data_Donasi[[#This Row],[Nama_Donatur]],Data_Donasi[Nominal])</f>
        <v>49000000</v>
      </c>
    </row>
    <row r="830" spans="1:7" x14ac:dyDescent="0.3">
      <c r="A830" s="14" t="s">
        <v>90</v>
      </c>
      <c r="B830" s="4" t="s">
        <v>190</v>
      </c>
      <c r="C830" s="4" t="s">
        <v>290</v>
      </c>
      <c r="D830" s="9">
        <v>45885</v>
      </c>
      <c r="E830" s="12">
        <v>5000000</v>
      </c>
      <c r="F830" t="str" cm="1">
        <f t="array" ref="F830">_xlfn.IFS(G830&lt;5000000, "Bronze", G830&lt;10000000, "Silver", G830&lt;20000000, "Gold", G830&gt;=20000000, "Diamond")</f>
        <v>Diamond</v>
      </c>
      <c r="G830" s="11">
        <f>SUMIF(Data_Donasi[Nama_Donatur],Data_Donasi[[#This Row],[Nama_Donatur]],Data_Donasi[Nominal])</f>
        <v>52300000</v>
      </c>
    </row>
    <row r="831" spans="1:7" x14ac:dyDescent="0.3">
      <c r="A831" s="14" t="s">
        <v>103</v>
      </c>
      <c r="B831" s="4" t="s">
        <v>203</v>
      </c>
      <c r="C831" s="4" t="s">
        <v>303</v>
      </c>
      <c r="D831" s="9">
        <v>45886</v>
      </c>
      <c r="E831" s="12">
        <v>5000000</v>
      </c>
      <c r="F831" t="str" cm="1">
        <f t="array" ref="F831">_xlfn.IFS(G831&lt;5000000, "Bronze", G831&lt;10000000, "Silver", G831&lt;20000000, "Gold", G831&gt;=20000000, "Diamond")</f>
        <v>Diamond</v>
      </c>
      <c r="G831" s="11">
        <f>SUMIF(Data_Donasi[Nama_Donatur],Data_Donasi[[#This Row],[Nama_Donatur]],Data_Donasi[Nominal])</f>
        <v>50550000</v>
      </c>
    </row>
    <row r="832" spans="1:7" x14ac:dyDescent="0.3">
      <c r="A832" s="14" t="s">
        <v>79</v>
      </c>
      <c r="B832" s="4" t="s">
        <v>179</v>
      </c>
      <c r="C832" s="4" t="s">
        <v>279</v>
      </c>
      <c r="D832" s="9">
        <v>45886</v>
      </c>
      <c r="E832" s="12">
        <v>5000000</v>
      </c>
      <c r="F832" t="str" cm="1">
        <f t="array" ref="F832">_xlfn.IFS(G832&lt;5000000, "Bronze", G832&lt;10000000, "Silver", G832&lt;20000000, "Gold", G832&gt;=20000000, "Diamond")</f>
        <v>Diamond</v>
      </c>
      <c r="G832" s="11">
        <f>SUMIF(Data_Donasi[Nama_Donatur],Data_Donasi[[#This Row],[Nama_Donatur]],Data_Donasi[Nominal])</f>
        <v>23700000</v>
      </c>
    </row>
    <row r="833" spans="1:7" x14ac:dyDescent="0.3">
      <c r="A833" s="14" t="s">
        <v>35</v>
      </c>
      <c r="B833" s="4" t="s">
        <v>135</v>
      </c>
      <c r="C833" s="4" t="s">
        <v>235</v>
      </c>
      <c r="D833" s="9">
        <v>45886</v>
      </c>
      <c r="E833" s="12">
        <v>150000</v>
      </c>
      <c r="F833" t="str" cm="1">
        <f t="array" ref="F833">_xlfn.IFS(G833&lt;5000000, "Bronze", G833&lt;10000000, "Silver", G833&lt;20000000, "Gold", G833&gt;=20000000, "Diamond")</f>
        <v>Diamond</v>
      </c>
      <c r="G833" s="11">
        <f>SUMIF(Data_Donasi[Nama_Donatur],Data_Donasi[[#This Row],[Nama_Donatur]],Data_Donasi[Nominal])</f>
        <v>97200000</v>
      </c>
    </row>
    <row r="834" spans="1:7" x14ac:dyDescent="0.3">
      <c r="A834" s="14" t="s">
        <v>79</v>
      </c>
      <c r="B834" s="4" t="s">
        <v>179</v>
      </c>
      <c r="C834" s="4" t="s">
        <v>279</v>
      </c>
      <c r="D834" s="9">
        <v>45886</v>
      </c>
      <c r="E834" s="12">
        <v>7000000</v>
      </c>
      <c r="F834" t="str" cm="1">
        <f t="array" ref="F834">_xlfn.IFS(G834&lt;5000000, "Bronze", G834&lt;10000000, "Silver", G834&lt;20000000, "Gold", G834&gt;=20000000, "Diamond")</f>
        <v>Diamond</v>
      </c>
      <c r="G834" s="11">
        <f>SUMIF(Data_Donasi[Nama_Donatur],Data_Donasi[[#This Row],[Nama_Donatur]],Data_Donasi[Nominal])</f>
        <v>23700000</v>
      </c>
    </row>
    <row r="835" spans="1:7" x14ac:dyDescent="0.3">
      <c r="A835" s="14" t="s">
        <v>25</v>
      </c>
      <c r="B835" s="4" t="s">
        <v>125</v>
      </c>
      <c r="C835" s="4" t="s">
        <v>225</v>
      </c>
      <c r="D835" s="9">
        <v>45887</v>
      </c>
      <c r="E835" s="12">
        <v>10000000</v>
      </c>
      <c r="F835" t="str" cm="1">
        <f t="array" ref="F835">_xlfn.IFS(G835&lt;5000000, "Bronze", G835&lt;10000000, "Silver", G835&lt;20000000, "Gold", G835&gt;=20000000, "Diamond")</f>
        <v>Diamond</v>
      </c>
      <c r="G835" s="11">
        <f>SUMIF(Data_Donasi[Nama_Donatur],Data_Donasi[[#This Row],[Nama_Donatur]],Data_Donasi[Nominal])</f>
        <v>41700000</v>
      </c>
    </row>
    <row r="836" spans="1:7" x14ac:dyDescent="0.3">
      <c r="A836" s="14" t="s">
        <v>73</v>
      </c>
      <c r="B836" s="4" t="s">
        <v>173</v>
      </c>
      <c r="C836" s="4" t="s">
        <v>273</v>
      </c>
      <c r="D836" s="9">
        <v>45887</v>
      </c>
      <c r="E836" s="12">
        <v>3000000</v>
      </c>
      <c r="F836" t="str" cm="1">
        <f t="array" ref="F836">_xlfn.IFS(G836&lt;5000000, "Bronze", G836&lt;10000000, "Silver", G836&lt;20000000, "Gold", G836&gt;=20000000, "Diamond")</f>
        <v>Diamond</v>
      </c>
      <c r="G836" s="11">
        <f>SUMIF(Data_Donasi[Nama_Donatur],Data_Donasi[[#This Row],[Nama_Donatur]],Data_Donasi[Nominal])</f>
        <v>28750000</v>
      </c>
    </row>
    <row r="837" spans="1:7" x14ac:dyDescent="0.3">
      <c r="A837" s="14" t="s">
        <v>5</v>
      </c>
      <c r="B837" s="4" t="s">
        <v>105</v>
      </c>
      <c r="C837" s="4" t="s">
        <v>205</v>
      </c>
      <c r="D837" s="9">
        <v>45887</v>
      </c>
      <c r="E837" s="12">
        <v>20000000</v>
      </c>
      <c r="F837" t="str" cm="1">
        <f t="array" ref="F837">_xlfn.IFS(G837&lt;5000000, "Bronze", G837&lt;10000000, "Silver", G837&lt;20000000, "Gold", G837&gt;=20000000, "Diamond")</f>
        <v>Diamond</v>
      </c>
      <c r="G837" s="11">
        <f>SUMIF(Data_Donasi[Nama_Donatur],Data_Donasi[[#This Row],[Nama_Donatur]],Data_Donasi[Nominal])</f>
        <v>42050000</v>
      </c>
    </row>
    <row r="838" spans="1:7" x14ac:dyDescent="0.3">
      <c r="A838" s="14" t="s">
        <v>72</v>
      </c>
      <c r="B838" s="4" t="s">
        <v>172</v>
      </c>
      <c r="C838" s="4" t="s">
        <v>272</v>
      </c>
      <c r="D838" s="9">
        <v>45888</v>
      </c>
      <c r="E838" s="12">
        <v>50000</v>
      </c>
      <c r="F838" t="str" cm="1">
        <f t="array" ref="F838">_xlfn.IFS(G838&lt;5000000, "Bronze", G838&lt;10000000, "Silver", G838&lt;20000000, "Gold", G838&gt;=20000000, "Diamond")</f>
        <v>Diamond</v>
      </c>
      <c r="G838" s="11">
        <f>SUMIF(Data_Donasi[Nama_Donatur],Data_Donasi[[#This Row],[Nama_Donatur]],Data_Donasi[Nominal])</f>
        <v>53250000</v>
      </c>
    </row>
    <row r="839" spans="1:7" x14ac:dyDescent="0.3">
      <c r="A839" s="14" t="s">
        <v>64</v>
      </c>
      <c r="B839" s="4" t="s">
        <v>164</v>
      </c>
      <c r="C839" s="4" t="s">
        <v>264</v>
      </c>
      <c r="D839" s="9">
        <v>45888</v>
      </c>
      <c r="E839" s="12">
        <v>10000000</v>
      </c>
      <c r="F839" t="str" cm="1">
        <f t="array" ref="F839">_xlfn.IFS(G839&lt;5000000, "Bronze", G839&lt;10000000, "Silver", G839&lt;20000000, "Gold", G839&gt;=20000000, "Diamond")</f>
        <v>Diamond</v>
      </c>
      <c r="G839" s="11">
        <f>SUMIF(Data_Donasi[Nama_Donatur],Data_Donasi[[#This Row],[Nama_Donatur]],Data_Donasi[Nominal])</f>
        <v>27750000</v>
      </c>
    </row>
    <row r="840" spans="1:7" x14ac:dyDescent="0.3">
      <c r="A840" s="14" t="s">
        <v>13</v>
      </c>
      <c r="B840" s="4" t="s">
        <v>113</v>
      </c>
      <c r="C840" s="4" t="s">
        <v>213</v>
      </c>
      <c r="D840" s="9">
        <v>45889</v>
      </c>
      <c r="E840" s="12">
        <v>5000000</v>
      </c>
      <c r="F840" t="str" cm="1">
        <f t="array" ref="F840">_xlfn.IFS(G840&lt;5000000, "Bronze", G840&lt;10000000, "Silver", G840&lt;20000000, "Gold", G840&gt;=20000000, "Diamond")</f>
        <v>Diamond</v>
      </c>
      <c r="G840" s="11">
        <f>SUMIF(Data_Donasi[Nama_Donatur],Data_Donasi[[#This Row],[Nama_Donatur]],Data_Donasi[Nominal])</f>
        <v>46550000</v>
      </c>
    </row>
    <row r="841" spans="1:7" x14ac:dyDescent="0.3">
      <c r="A841" s="14" t="s">
        <v>89</v>
      </c>
      <c r="B841" s="4" t="s">
        <v>189</v>
      </c>
      <c r="C841" s="4" t="s">
        <v>289</v>
      </c>
      <c r="D841" s="9">
        <v>45889</v>
      </c>
      <c r="E841" s="12">
        <v>50000</v>
      </c>
      <c r="F841" t="str" cm="1">
        <f t="array" ref="F841">_xlfn.IFS(G841&lt;5000000, "Bronze", G841&lt;10000000, "Silver", G841&lt;20000000, "Gold", G841&gt;=20000000, "Diamond")</f>
        <v>Diamond</v>
      </c>
      <c r="G841" s="11">
        <f>SUMIF(Data_Donasi[Nama_Donatur],Data_Donasi[[#This Row],[Nama_Donatur]],Data_Donasi[Nominal])</f>
        <v>28500000</v>
      </c>
    </row>
    <row r="842" spans="1:7" x14ac:dyDescent="0.3">
      <c r="A842" s="14" t="s">
        <v>55</v>
      </c>
      <c r="B842" s="4" t="s">
        <v>155</v>
      </c>
      <c r="C842" s="4" t="s">
        <v>255</v>
      </c>
      <c r="D842" s="9">
        <v>45889</v>
      </c>
      <c r="E842" s="12">
        <v>150000</v>
      </c>
      <c r="F842" t="str" cm="1">
        <f t="array" ref="F842">_xlfn.IFS(G842&lt;5000000, "Bronze", G842&lt;10000000, "Silver", G842&lt;20000000, "Gold", G842&gt;=20000000, "Diamond")</f>
        <v>Diamond</v>
      </c>
      <c r="G842" s="11">
        <f>SUMIF(Data_Donasi[Nama_Donatur],Data_Donasi[[#This Row],[Nama_Donatur]],Data_Donasi[Nominal])</f>
        <v>50950000</v>
      </c>
    </row>
    <row r="843" spans="1:7" x14ac:dyDescent="0.3">
      <c r="A843" s="14" t="s">
        <v>6</v>
      </c>
      <c r="B843" s="4" t="s">
        <v>106</v>
      </c>
      <c r="C843" s="4" t="s">
        <v>206</v>
      </c>
      <c r="D843" s="9">
        <v>45889</v>
      </c>
      <c r="E843" s="12">
        <v>50000</v>
      </c>
      <c r="F843" t="str" cm="1">
        <f t="array" ref="F843">_xlfn.IFS(G843&lt;5000000, "Bronze", G843&lt;10000000, "Silver", G843&lt;20000000, "Gold", G843&gt;=20000000, "Diamond")</f>
        <v>Diamond</v>
      </c>
      <c r="G843" s="11">
        <f>SUMIF(Data_Donasi[Nama_Donatur],Data_Donasi[[#This Row],[Nama_Donatur]],Data_Donasi[Nominal])</f>
        <v>47600000</v>
      </c>
    </row>
    <row r="844" spans="1:7" x14ac:dyDescent="0.3">
      <c r="A844" s="14" t="s">
        <v>77</v>
      </c>
      <c r="B844" s="4" t="s">
        <v>177</v>
      </c>
      <c r="C844" s="4" t="s">
        <v>277</v>
      </c>
      <c r="D844" s="9">
        <v>45889</v>
      </c>
      <c r="E844" s="12">
        <v>20000000</v>
      </c>
      <c r="F844" t="str" cm="1">
        <f t="array" ref="F844">_xlfn.IFS(G844&lt;5000000, "Bronze", G844&lt;10000000, "Silver", G844&lt;20000000, "Gold", G844&gt;=20000000, "Diamond")</f>
        <v>Diamond</v>
      </c>
      <c r="G844" s="11">
        <f>SUMIF(Data_Donasi[Nama_Donatur],Data_Donasi[[#This Row],[Nama_Donatur]],Data_Donasi[Nominal])</f>
        <v>47350000</v>
      </c>
    </row>
    <row r="845" spans="1:7" x14ac:dyDescent="0.3">
      <c r="A845" s="14" t="s">
        <v>34</v>
      </c>
      <c r="B845" s="4" t="s">
        <v>134</v>
      </c>
      <c r="C845" s="4" t="s">
        <v>234</v>
      </c>
      <c r="D845" s="9">
        <v>45889</v>
      </c>
      <c r="E845" s="12">
        <v>50000</v>
      </c>
      <c r="F845" t="str" cm="1">
        <f t="array" ref="F845">_xlfn.IFS(G845&lt;5000000, "Bronze", G845&lt;10000000, "Silver", G845&lt;20000000, "Gold", G845&gt;=20000000, "Diamond")</f>
        <v>Gold</v>
      </c>
      <c r="G845" s="11">
        <f>SUMIF(Data_Donasi[Nama_Donatur],Data_Donasi[[#This Row],[Nama_Donatur]],Data_Donasi[Nominal])</f>
        <v>18400000</v>
      </c>
    </row>
    <row r="846" spans="1:7" x14ac:dyDescent="0.3">
      <c r="A846" s="14" t="s">
        <v>11</v>
      </c>
      <c r="B846" s="4" t="s">
        <v>111</v>
      </c>
      <c r="C846" s="4" t="s">
        <v>211</v>
      </c>
      <c r="D846" s="9">
        <v>45889</v>
      </c>
      <c r="E846" s="12">
        <v>7000000</v>
      </c>
      <c r="F846" t="str" cm="1">
        <f t="array" ref="F846">_xlfn.IFS(G846&lt;5000000, "Bronze", G846&lt;10000000, "Silver", G846&lt;20000000, "Gold", G846&gt;=20000000, "Diamond")</f>
        <v>Diamond</v>
      </c>
      <c r="G846" s="11">
        <f>SUMIF(Data_Donasi[Nama_Donatur],Data_Donasi[[#This Row],[Nama_Donatur]],Data_Donasi[Nominal])</f>
        <v>26800000</v>
      </c>
    </row>
    <row r="847" spans="1:7" x14ac:dyDescent="0.3">
      <c r="A847" s="14" t="s">
        <v>93</v>
      </c>
      <c r="B847" s="4" t="s">
        <v>193</v>
      </c>
      <c r="C847" s="4" t="s">
        <v>293</v>
      </c>
      <c r="D847" s="9">
        <v>45890</v>
      </c>
      <c r="E847" s="12">
        <v>5000000</v>
      </c>
      <c r="F847" t="str" cm="1">
        <f t="array" ref="F847">_xlfn.IFS(G847&lt;5000000, "Bronze", G847&lt;10000000, "Silver", G847&lt;20000000, "Gold", G847&gt;=20000000, "Diamond")</f>
        <v>Gold</v>
      </c>
      <c r="G847" s="11">
        <f>SUMIF(Data_Donasi[Nama_Donatur],Data_Donasi[[#This Row],[Nama_Donatur]],Data_Donasi[Nominal])</f>
        <v>19400000</v>
      </c>
    </row>
    <row r="848" spans="1:7" x14ac:dyDescent="0.3">
      <c r="A848" s="14" t="s">
        <v>81</v>
      </c>
      <c r="B848" s="4" t="s">
        <v>181</v>
      </c>
      <c r="C848" s="4" t="s">
        <v>281</v>
      </c>
      <c r="D848" s="9">
        <v>45891</v>
      </c>
      <c r="E848" s="12">
        <v>7000000</v>
      </c>
      <c r="F848" t="str" cm="1">
        <f t="array" ref="F848">_xlfn.IFS(G848&lt;5000000, "Bronze", G848&lt;10000000, "Silver", G848&lt;20000000, "Gold", G848&gt;=20000000, "Diamond")</f>
        <v>Diamond</v>
      </c>
      <c r="G848" s="11">
        <f>SUMIF(Data_Donasi[Nama_Donatur],Data_Donasi[[#This Row],[Nama_Donatur]],Data_Donasi[Nominal])</f>
        <v>86000000</v>
      </c>
    </row>
    <row r="849" spans="1:7" x14ac:dyDescent="0.3">
      <c r="A849" s="14" t="s">
        <v>35</v>
      </c>
      <c r="B849" s="4" t="s">
        <v>135</v>
      </c>
      <c r="C849" s="4" t="s">
        <v>235</v>
      </c>
      <c r="D849" s="9">
        <v>45891</v>
      </c>
      <c r="E849" s="12">
        <v>20000000</v>
      </c>
      <c r="F849" t="str" cm="1">
        <f t="array" ref="F849">_xlfn.IFS(G849&lt;5000000, "Bronze", G849&lt;10000000, "Silver", G849&lt;20000000, "Gold", G849&gt;=20000000, "Diamond")</f>
        <v>Diamond</v>
      </c>
      <c r="G849" s="11">
        <f>SUMIF(Data_Donasi[Nama_Donatur],Data_Donasi[[#This Row],[Nama_Donatur]],Data_Donasi[Nominal])</f>
        <v>97200000</v>
      </c>
    </row>
    <row r="850" spans="1:7" x14ac:dyDescent="0.3">
      <c r="A850" s="14" t="s">
        <v>48</v>
      </c>
      <c r="B850" s="4" t="s">
        <v>148</v>
      </c>
      <c r="C850" s="4" t="s">
        <v>248</v>
      </c>
      <c r="D850" s="9">
        <v>45892</v>
      </c>
      <c r="E850" s="12">
        <v>7000000</v>
      </c>
      <c r="F850" t="str" cm="1">
        <f t="array" ref="F850">_xlfn.IFS(G850&lt;5000000, "Bronze", G850&lt;10000000, "Silver", G850&lt;20000000, "Gold", G850&gt;=20000000, "Diamond")</f>
        <v>Diamond</v>
      </c>
      <c r="G850" s="11">
        <f>SUMIF(Data_Donasi[Nama_Donatur],Data_Donasi[[#This Row],[Nama_Donatur]],Data_Donasi[Nominal])</f>
        <v>41150000</v>
      </c>
    </row>
    <row r="851" spans="1:7" x14ac:dyDescent="0.3">
      <c r="A851" s="14" t="s">
        <v>71</v>
      </c>
      <c r="B851" s="4" t="s">
        <v>171</v>
      </c>
      <c r="C851" s="4" t="s">
        <v>271</v>
      </c>
      <c r="D851" s="9">
        <v>45892</v>
      </c>
      <c r="E851" s="12">
        <v>3000000</v>
      </c>
      <c r="F851" t="str" cm="1">
        <f t="array" ref="F851">_xlfn.IFS(G851&lt;5000000, "Bronze", G851&lt;10000000, "Silver", G851&lt;20000000, "Gold", G851&gt;=20000000, "Diamond")</f>
        <v>Gold</v>
      </c>
      <c r="G851" s="11">
        <f>SUMIF(Data_Donasi[Nama_Donatur],Data_Donasi[[#This Row],[Nama_Donatur]],Data_Donasi[Nominal])</f>
        <v>15200000</v>
      </c>
    </row>
    <row r="852" spans="1:7" x14ac:dyDescent="0.3">
      <c r="A852" s="14" t="s">
        <v>22</v>
      </c>
      <c r="B852" s="4" t="s">
        <v>122</v>
      </c>
      <c r="C852" s="4" t="s">
        <v>222</v>
      </c>
      <c r="D852" s="9">
        <v>45892</v>
      </c>
      <c r="E852" s="12">
        <v>250000</v>
      </c>
      <c r="F852" t="str" cm="1">
        <f t="array" ref="F852">_xlfn.IFS(G852&lt;5000000, "Bronze", G852&lt;10000000, "Silver", G852&lt;20000000, "Gold", G852&gt;=20000000, "Diamond")</f>
        <v>Diamond</v>
      </c>
      <c r="G852" s="11">
        <f>SUMIF(Data_Donasi[Nama_Donatur],Data_Donasi[[#This Row],[Nama_Donatur]],Data_Donasi[Nominal])</f>
        <v>67900000</v>
      </c>
    </row>
    <row r="853" spans="1:7" x14ac:dyDescent="0.3">
      <c r="A853" s="14" t="s">
        <v>83</v>
      </c>
      <c r="B853" s="4" t="s">
        <v>183</v>
      </c>
      <c r="C853" s="4" t="s">
        <v>283</v>
      </c>
      <c r="D853" s="9">
        <v>45892</v>
      </c>
      <c r="E853" s="12">
        <v>20000000</v>
      </c>
      <c r="F853" t="str" cm="1">
        <f t="array" ref="F853">_xlfn.IFS(G853&lt;5000000, "Bronze", G853&lt;10000000, "Silver", G853&lt;20000000, "Gold", G853&gt;=20000000, "Diamond")</f>
        <v>Diamond</v>
      </c>
      <c r="G853" s="11">
        <f>SUMIF(Data_Donasi[Nama_Donatur],Data_Donasi[[#This Row],[Nama_Donatur]],Data_Donasi[Nominal])</f>
        <v>47400000</v>
      </c>
    </row>
    <row r="854" spans="1:7" x14ac:dyDescent="0.3">
      <c r="A854" s="14" t="s">
        <v>55</v>
      </c>
      <c r="B854" s="4" t="s">
        <v>155</v>
      </c>
      <c r="C854" s="4" t="s">
        <v>255</v>
      </c>
      <c r="D854" s="9">
        <v>45893</v>
      </c>
      <c r="E854" s="12">
        <v>200000</v>
      </c>
      <c r="F854" t="str" cm="1">
        <f t="array" ref="F854">_xlfn.IFS(G854&lt;5000000, "Bronze", G854&lt;10000000, "Silver", G854&lt;20000000, "Gold", G854&gt;=20000000, "Diamond")</f>
        <v>Diamond</v>
      </c>
      <c r="G854" s="11">
        <f>SUMIF(Data_Donasi[Nama_Donatur],Data_Donasi[[#This Row],[Nama_Donatur]],Data_Donasi[Nominal])</f>
        <v>50950000</v>
      </c>
    </row>
    <row r="855" spans="1:7" x14ac:dyDescent="0.3">
      <c r="A855" s="14" t="s">
        <v>82</v>
      </c>
      <c r="B855" s="4" t="s">
        <v>182</v>
      </c>
      <c r="C855" s="4" t="s">
        <v>282</v>
      </c>
      <c r="D855" s="9">
        <v>45893</v>
      </c>
      <c r="E855" s="12">
        <v>20000000</v>
      </c>
      <c r="F855" t="str" cm="1">
        <f t="array" ref="F855">_xlfn.IFS(G855&lt;5000000, "Bronze", G855&lt;10000000, "Silver", G855&lt;20000000, "Gold", G855&gt;=20000000, "Diamond")</f>
        <v>Diamond</v>
      </c>
      <c r="G855" s="11">
        <f>SUMIF(Data_Donasi[Nama_Donatur],Data_Donasi[[#This Row],[Nama_Donatur]],Data_Donasi[Nominal])</f>
        <v>63700000</v>
      </c>
    </row>
    <row r="856" spans="1:7" x14ac:dyDescent="0.3">
      <c r="A856" s="14" t="s">
        <v>33</v>
      </c>
      <c r="B856" s="4" t="s">
        <v>133</v>
      </c>
      <c r="C856" s="4" t="s">
        <v>233</v>
      </c>
      <c r="D856" s="9">
        <v>45893</v>
      </c>
      <c r="E856" s="12">
        <v>20000000</v>
      </c>
      <c r="F856" t="str" cm="1">
        <f t="array" ref="F856">_xlfn.IFS(G856&lt;5000000, "Bronze", G856&lt;10000000, "Silver", G856&lt;20000000, "Gold", G856&gt;=20000000, "Diamond")</f>
        <v>Diamond</v>
      </c>
      <c r="G856" s="11">
        <f>SUMIF(Data_Donasi[Nama_Donatur],Data_Donasi[[#This Row],[Nama_Donatur]],Data_Donasi[Nominal])</f>
        <v>56850000</v>
      </c>
    </row>
    <row r="857" spans="1:7" x14ac:dyDescent="0.3">
      <c r="A857" s="14" t="s">
        <v>78</v>
      </c>
      <c r="B857" s="4" t="s">
        <v>178</v>
      </c>
      <c r="C857" s="4" t="s">
        <v>278</v>
      </c>
      <c r="D857" s="9">
        <v>45893</v>
      </c>
      <c r="E857" s="12">
        <v>100000</v>
      </c>
      <c r="F857" t="str" cm="1">
        <f t="array" ref="F857">_xlfn.IFS(G857&lt;5000000, "Bronze", G857&lt;10000000, "Silver", G857&lt;20000000, "Gold", G857&gt;=20000000, "Diamond")</f>
        <v>Diamond</v>
      </c>
      <c r="G857" s="11">
        <f>SUMIF(Data_Donasi[Nama_Donatur],Data_Donasi[[#This Row],[Nama_Donatur]],Data_Donasi[Nominal])</f>
        <v>115650000</v>
      </c>
    </row>
    <row r="858" spans="1:7" x14ac:dyDescent="0.3">
      <c r="A858" s="14" t="s">
        <v>12</v>
      </c>
      <c r="B858" s="4" t="s">
        <v>112</v>
      </c>
      <c r="C858" s="4" t="s">
        <v>212</v>
      </c>
      <c r="D858" s="9">
        <v>45894</v>
      </c>
      <c r="E858" s="12">
        <v>250000</v>
      </c>
      <c r="F858" t="str" cm="1">
        <f t="array" ref="F858">_xlfn.IFS(G858&lt;5000000, "Bronze", G858&lt;10000000, "Silver", G858&lt;20000000, "Gold", G858&gt;=20000000, "Diamond")</f>
        <v>Silver</v>
      </c>
      <c r="G858" s="11">
        <f>SUMIF(Data_Donasi[Nama_Donatur],Data_Donasi[[#This Row],[Nama_Donatur]],Data_Donasi[Nominal])</f>
        <v>8900000</v>
      </c>
    </row>
    <row r="859" spans="1:7" x14ac:dyDescent="0.3">
      <c r="A859" s="14" t="s">
        <v>57</v>
      </c>
      <c r="B859" s="4" t="s">
        <v>157</v>
      </c>
      <c r="C859" s="4" t="s">
        <v>257</v>
      </c>
      <c r="D859" s="9">
        <v>45894</v>
      </c>
      <c r="E859" s="12">
        <v>3000000</v>
      </c>
      <c r="F859" t="str" cm="1">
        <f t="array" ref="F859">_xlfn.IFS(G859&lt;5000000, "Bronze", G859&lt;10000000, "Silver", G859&lt;20000000, "Gold", G859&gt;=20000000, "Diamond")</f>
        <v>Diamond</v>
      </c>
      <c r="G859" s="11">
        <f>SUMIF(Data_Donasi[Nama_Donatur],Data_Donasi[[#This Row],[Nama_Donatur]],Data_Donasi[Nominal])</f>
        <v>30750000</v>
      </c>
    </row>
    <row r="860" spans="1:7" x14ac:dyDescent="0.3">
      <c r="A860" s="14" t="s">
        <v>90</v>
      </c>
      <c r="B860" s="4" t="s">
        <v>190</v>
      </c>
      <c r="C860" s="4" t="s">
        <v>290</v>
      </c>
      <c r="D860" s="9">
        <v>45894</v>
      </c>
      <c r="E860" s="12">
        <v>20000000</v>
      </c>
      <c r="F860" t="str" cm="1">
        <f t="array" ref="F860">_xlfn.IFS(G860&lt;5000000, "Bronze", G860&lt;10000000, "Silver", G860&lt;20000000, "Gold", G860&gt;=20000000, "Diamond")</f>
        <v>Diamond</v>
      </c>
      <c r="G860" s="11">
        <f>SUMIF(Data_Donasi[Nama_Donatur],Data_Donasi[[#This Row],[Nama_Donatur]],Data_Donasi[Nominal])</f>
        <v>52300000</v>
      </c>
    </row>
    <row r="861" spans="1:7" x14ac:dyDescent="0.3">
      <c r="A861" s="14" t="s">
        <v>75</v>
      </c>
      <c r="B861" s="4" t="s">
        <v>175</v>
      </c>
      <c r="C861" s="4" t="s">
        <v>275</v>
      </c>
      <c r="D861" s="9">
        <v>45894</v>
      </c>
      <c r="E861" s="12">
        <v>100000</v>
      </c>
      <c r="F861" t="str" cm="1">
        <f t="array" ref="F861">_xlfn.IFS(G861&lt;5000000, "Bronze", G861&lt;10000000, "Silver", G861&lt;20000000, "Gold", G861&gt;=20000000, "Diamond")</f>
        <v>Diamond</v>
      </c>
      <c r="G861" s="11">
        <f>SUMIF(Data_Donasi[Nama_Donatur],Data_Donasi[[#This Row],[Nama_Donatur]],Data_Donasi[Nominal])</f>
        <v>44400000</v>
      </c>
    </row>
    <row r="862" spans="1:7" x14ac:dyDescent="0.3">
      <c r="A862" s="14" t="s">
        <v>50</v>
      </c>
      <c r="B862" s="4" t="s">
        <v>150</v>
      </c>
      <c r="C862" s="4" t="s">
        <v>250</v>
      </c>
      <c r="D862" s="9">
        <v>45895</v>
      </c>
      <c r="E862" s="12">
        <v>20000000</v>
      </c>
      <c r="F862" t="str" cm="1">
        <f t="array" ref="F862">_xlfn.IFS(G862&lt;5000000, "Bronze", G862&lt;10000000, "Silver", G862&lt;20000000, "Gold", G862&gt;=20000000, "Diamond")</f>
        <v>Diamond</v>
      </c>
      <c r="G862" s="11">
        <f>SUMIF(Data_Donasi[Nama_Donatur],Data_Donasi[[#This Row],[Nama_Donatur]],Data_Donasi[Nominal])</f>
        <v>39700000</v>
      </c>
    </row>
    <row r="863" spans="1:7" x14ac:dyDescent="0.3">
      <c r="A863" s="14" t="s">
        <v>15</v>
      </c>
      <c r="B863" s="4" t="s">
        <v>115</v>
      </c>
      <c r="C863" s="4" t="s">
        <v>215</v>
      </c>
      <c r="D863" s="9">
        <v>45895</v>
      </c>
      <c r="E863" s="12">
        <v>100000</v>
      </c>
      <c r="F863" t="str" cm="1">
        <f t="array" ref="F863">_xlfn.IFS(G863&lt;5000000, "Bronze", G863&lt;10000000, "Silver", G863&lt;20000000, "Gold", G863&gt;=20000000, "Diamond")</f>
        <v>Diamond</v>
      </c>
      <c r="G863" s="11">
        <f>SUMIF(Data_Donasi[Nama_Donatur],Data_Donasi[[#This Row],[Nama_Donatur]],Data_Donasi[Nominal])</f>
        <v>84750000</v>
      </c>
    </row>
    <row r="864" spans="1:7" x14ac:dyDescent="0.3">
      <c r="A864" s="14" t="s">
        <v>29</v>
      </c>
      <c r="B864" s="4" t="s">
        <v>129</v>
      </c>
      <c r="C864" s="4" t="s">
        <v>229</v>
      </c>
      <c r="D864" s="9">
        <v>45895</v>
      </c>
      <c r="E864" s="12">
        <v>50000</v>
      </c>
      <c r="F864" t="str" cm="1">
        <f t="array" ref="F864">_xlfn.IFS(G864&lt;5000000, "Bronze", G864&lt;10000000, "Silver", G864&lt;20000000, "Gold", G864&gt;=20000000, "Diamond")</f>
        <v>Diamond</v>
      </c>
      <c r="G864" s="11">
        <f>SUMIF(Data_Donasi[Nama_Donatur],Data_Donasi[[#This Row],[Nama_Donatur]],Data_Donasi[Nominal])</f>
        <v>30400000</v>
      </c>
    </row>
    <row r="865" spans="1:7" x14ac:dyDescent="0.3">
      <c r="A865" s="14" t="s">
        <v>59</v>
      </c>
      <c r="B865" s="4" t="s">
        <v>159</v>
      </c>
      <c r="C865" s="4" t="s">
        <v>259</v>
      </c>
      <c r="D865" s="9">
        <v>45896</v>
      </c>
      <c r="E865" s="12">
        <v>50000</v>
      </c>
      <c r="F865" t="str" cm="1">
        <f t="array" ref="F865">_xlfn.IFS(G865&lt;5000000, "Bronze", G865&lt;10000000, "Silver", G865&lt;20000000, "Gold", G865&gt;=20000000, "Diamond")</f>
        <v>Diamond</v>
      </c>
      <c r="G865" s="11">
        <f>SUMIF(Data_Donasi[Nama_Donatur],Data_Donasi[[#This Row],[Nama_Donatur]],Data_Donasi[Nominal])</f>
        <v>22850000</v>
      </c>
    </row>
    <row r="866" spans="1:7" x14ac:dyDescent="0.3">
      <c r="A866" s="14" t="s">
        <v>90</v>
      </c>
      <c r="B866" s="4" t="s">
        <v>190</v>
      </c>
      <c r="C866" s="4" t="s">
        <v>290</v>
      </c>
      <c r="D866" s="9">
        <v>45896</v>
      </c>
      <c r="E866" s="12">
        <v>50000</v>
      </c>
      <c r="F866" t="str" cm="1">
        <f t="array" ref="F866">_xlfn.IFS(G866&lt;5000000, "Bronze", G866&lt;10000000, "Silver", G866&lt;20000000, "Gold", G866&gt;=20000000, "Diamond")</f>
        <v>Diamond</v>
      </c>
      <c r="G866" s="11">
        <f>SUMIF(Data_Donasi[Nama_Donatur],Data_Donasi[[#This Row],[Nama_Donatur]],Data_Donasi[Nominal])</f>
        <v>52300000</v>
      </c>
    </row>
    <row r="867" spans="1:7" x14ac:dyDescent="0.3">
      <c r="A867" s="14" t="s">
        <v>98</v>
      </c>
      <c r="B867" s="4" t="s">
        <v>198</v>
      </c>
      <c r="C867" s="4" t="s">
        <v>298</v>
      </c>
      <c r="D867" s="9">
        <v>45896</v>
      </c>
      <c r="E867" s="12">
        <v>150000</v>
      </c>
      <c r="F867" t="str" cm="1">
        <f t="array" ref="F867">_xlfn.IFS(G867&lt;5000000, "Bronze", G867&lt;10000000, "Silver", G867&lt;20000000, "Gold", G867&gt;=20000000, "Diamond")</f>
        <v>Diamond</v>
      </c>
      <c r="G867" s="11">
        <f>SUMIF(Data_Donasi[Nama_Donatur],Data_Donasi[[#This Row],[Nama_Donatur]],Data_Donasi[Nominal])</f>
        <v>36400000</v>
      </c>
    </row>
    <row r="868" spans="1:7" x14ac:dyDescent="0.3">
      <c r="A868" s="14" t="s">
        <v>58</v>
      </c>
      <c r="B868" s="4" t="s">
        <v>158</v>
      </c>
      <c r="C868" s="4" t="s">
        <v>258</v>
      </c>
      <c r="D868" s="9">
        <v>45897</v>
      </c>
      <c r="E868" s="12">
        <v>50000</v>
      </c>
      <c r="F868" t="str" cm="1">
        <f t="array" ref="F868">_xlfn.IFS(G868&lt;5000000, "Bronze", G868&lt;10000000, "Silver", G868&lt;20000000, "Gold", G868&gt;=20000000, "Diamond")</f>
        <v>Gold</v>
      </c>
      <c r="G868" s="11">
        <f>SUMIF(Data_Donasi[Nama_Donatur],Data_Donasi[[#This Row],[Nama_Donatur]],Data_Donasi[Nominal])</f>
        <v>12000000</v>
      </c>
    </row>
    <row r="869" spans="1:7" x14ac:dyDescent="0.3">
      <c r="A869" s="14" t="s">
        <v>26</v>
      </c>
      <c r="B869" s="4" t="s">
        <v>126</v>
      </c>
      <c r="C869" s="4" t="s">
        <v>226</v>
      </c>
      <c r="D869" s="9">
        <v>45897</v>
      </c>
      <c r="E869" s="12">
        <v>20000000</v>
      </c>
      <c r="F869" t="str" cm="1">
        <f t="array" ref="F869">_xlfn.IFS(G869&lt;5000000, "Bronze", G869&lt;10000000, "Silver", G869&lt;20000000, "Gold", G869&gt;=20000000, "Diamond")</f>
        <v>Diamond</v>
      </c>
      <c r="G869" s="11">
        <f>SUMIF(Data_Donasi[Nama_Donatur],Data_Donasi[[#This Row],[Nama_Donatur]],Data_Donasi[Nominal])</f>
        <v>46450000</v>
      </c>
    </row>
    <row r="870" spans="1:7" x14ac:dyDescent="0.3">
      <c r="A870" s="14" t="s">
        <v>94</v>
      </c>
      <c r="B870" s="4" t="s">
        <v>194</v>
      </c>
      <c r="C870" s="4" t="s">
        <v>294</v>
      </c>
      <c r="D870" s="9">
        <v>45897</v>
      </c>
      <c r="E870" s="12">
        <v>5000000</v>
      </c>
      <c r="F870" t="str" cm="1">
        <f t="array" ref="F870">_xlfn.IFS(G870&lt;5000000, "Bronze", G870&lt;10000000, "Silver", G870&lt;20000000, "Gold", G870&gt;=20000000, "Diamond")</f>
        <v>Diamond</v>
      </c>
      <c r="G870" s="11">
        <f>SUMIF(Data_Donasi[Nama_Donatur],Data_Donasi[[#This Row],[Nama_Donatur]],Data_Donasi[Nominal])</f>
        <v>26650000</v>
      </c>
    </row>
    <row r="871" spans="1:7" x14ac:dyDescent="0.3">
      <c r="A871" s="14" t="s">
        <v>15</v>
      </c>
      <c r="B871" s="4" t="s">
        <v>115</v>
      </c>
      <c r="C871" s="4" t="s">
        <v>215</v>
      </c>
      <c r="D871" s="9">
        <v>45897</v>
      </c>
      <c r="E871" s="12">
        <v>10000000</v>
      </c>
      <c r="F871" t="str" cm="1">
        <f t="array" ref="F871">_xlfn.IFS(G871&lt;5000000, "Bronze", G871&lt;10000000, "Silver", G871&lt;20000000, "Gold", G871&gt;=20000000, "Diamond")</f>
        <v>Diamond</v>
      </c>
      <c r="G871" s="11">
        <f>SUMIF(Data_Donasi[Nama_Donatur],Data_Donasi[[#This Row],[Nama_Donatur]],Data_Donasi[Nominal])</f>
        <v>84750000</v>
      </c>
    </row>
    <row r="872" spans="1:7" x14ac:dyDescent="0.3">
      <c r="A872" s="14" t="s">
        <v>23</v>
      </c>
      <c r="B872" s="4" t="s">
        <v>123</v>
      </c>
      <c r="C872" s="4" t="s">
        <v>223</v>
      </c>
      <c r="D872" s="9">
        <v>45897</v>
      </c>
      <c r="E872" s="12">
        <v>100000</v>
      </c>
      <c r="F872" t="str" cm="1">
        <f t="array" ref="F872">_xlfn.IFS(G872&lt;5000000, "Bronze", G872&lt;10000000, "Silver", G872&lt;20000000, "Gold", G872&gt;=20000000, "Diamond")</f>
        <v>Diamond</v>
      </c>
      <c r="G872" s="11">
        <f>SUMIF(Data_Donasi[Nama_Donatur],Data_Donasi[[#This Row],[Nama_Donatur]],Data_Donasi[Nominal])</f>
        <v>55250000</v>
      </c>
    </row>
    <row r="873" spans="1:7" x14ac:dyDescent="0.3">
      <c r="A873" s="14" t="s">
        <v>31</v>
      </c>
      <c r="B873" s="4" t="s">
        <v>131</v>
      </c>
      <c r="C873" s="4" t="s">
        <v>231</v>
      </c>
      <c r="D873" s="9">
        <v>45898</v>
      </c>
      <c r="E873" s="12">
        <v>10000000</v>
      </c>
      <c r="F873" t="str" cm="1">
        <f t="array" ref="F873">_xlfn.IFS(G873&lt;5000000, "Bronze", G873&lt;10000000, "Silver", G873&lt;20000000, "Gold", G873&gt;=20000000, "Diamond")</f>
        <v>Diamond</v>
      </c>
      <c r="G873" s="11">
        <f>SUMIF(Data_Donasi[Nama_Donatur],Data_Donasi[[#This Row],[Nama_Donatur]],Data_Donasi[Nominal])</f>
        <v>73400000</v>
      </c>
    </row>
    <row r="874" spans="1:7" x14ac:dyDescent="0.3">
      <c r="A874" s="14" t="s">
        <v>69</v>
      </c>
      <c r="B874" s="4" t="s">
        <v>169</v>
      </c>
      <c r="C874" s="4" t="s">
        <v>269</v>
      </c>
      <c r="D874" s="9">
        <v>45898</v>
      </c>
      <c r="E874" s="12">
        <v>3000000</v>
      </c>
      <c r="F874" t="str" cm="1">
        <f t="array" ref="F874">_xlfn.IFS(G874&lt;5000000, "Bronze", G874&lt;10000000, "Silver", G874&lt;20000000, "Gold", G874&gt;=20000000, "Diamond")</f>
        <v>Diamond</v>
      </c>
      <c r="G874" s="11">
        <f>SUMIF(Data_Donasi[Nama_Donatur],Data_Donasi[[#This Row],[Nama_Donatur]],Data_Donasi[Nominal])</f>
        <v>53350000</v>
      </c>
    </row>
    <row r="875" spans="1:7" x14ac:dyDescent="0.3">
      <c r="A875" s="14" t="s">
        <v>65</v>
      </c>
      <c r="B875" s="4" t="s">
        <v>165</v>
      </c>
      <c r="C875" s="4" t="s">
        <v>265</v>
      </c>
      <c r="D875" s="9">
        <v>45898</v>
      </c>
      <c r="E875" s="12">
        <v>20000000</v>
      </c>
      <c r="F875" t="str" cm="1">
        <f t="array" ref="F875">_xlfn.IFS(G875&lt;5000000, "Bronze", G875&lt;10000000, "Silver", G875&lt;20000000, "Gold", G875&gt;=20000000, "Diamond")</f>
        <v>Diamond</v>
      </c>
      <c r="G875" s="11">
        <f>SUMIF(Data_Donasi[Nama_Donatur],Data_Donasi[[#This Row],[Nama_Donatur]],Data_Donasi[Nominal])</f>
        <v>40750000</v>
      </c>
    </row>
    <row r="876" spans="1:7" x14ac:dyDescent="0.3">
      <c r="A876" s="14" t="s">
        <v>104</v>
      </c>
      <c r="B876" s="4" t="s">
        <v>204</v>
      </c>
      <c r="C876" s="4" t="s">
        <v>304</v>
      </c>
      <c r="D876" s="9">
        <v>45898</v>
      </c>
      <c r="E876" s="12">
        <v>3000000</v>
      </c>
      <c r="F876" t="str" cm="1">
        <f t="array" ref="F876">_xlfn.IFS(G876&lt;5000000, "Bronze", G876&lt;10000000, "Silver", G876&lt;20000000, "Gold", G876&gt;=20000000, "Diamond")</f>
        <v>Diamond</v>
      </c>
      <c r="G876" s="11">
        <f>SUMIF(Data_Donasi[Nama_Donatur],Data_Donasi[[#This Row],[Nama_Donatur]],Data_Donasi[Nominal])</f>
        <v>22000000</v>
      </c>
    </row>
    <row r="877" spans="1:7" x14ac:dyDescent="0.3">
      <c r="A877" s="14" t="s">
        <v>79</v>
      </c>
      <c r="B877" s="4" t="s">
        <v>179</v>
      </c>
      <c r="C877" s="4" t="s">
        <v>279</v>
      </c>
      <c r="D877" s="9">
        <v>45898</v>
      </c>
      <c r="E877" s="12">
        <v>3000000</v>
      </c>
      <c r="F877" t="str" cm="1">
        <f t="array" ref="F877">_xlfn.IFS(G877&lt;5000000, "Bronze", G877&lt;10000000, "Silver", G877&lt;20000000, "Gold", G877&gt;=20000000, "Diamond")</f>
        <v>Diamond</v>
      </c>
      <c r="G877" s="11">
        <f>SUMIF(Data_Donasi[Nama_Donatur],Data_Donasi[[#This Row],[Nama_Donatur]],Data_Donasi[Nominal])</f>
        <v>23700000</v>
      </c>
    </row>
    <row r="878" spans="1:7" x14ac:dyDescent="0.3">
      <c r="A878" s="14" t="s">
        <v>31</v>
      </c>
      <c r="B878" s="4" t="s">
        <v>131</v>
      </c>
      <c r="C878" s="4" t="s">
        <v>231</v>
      </c>
      <c r="D878" s="9">
        <v>45899</v>
      </c>
      <c r="E878" s="12">
        <v>1000000</v>
      </c>
      <c r="F878" t="str" cm="1">
        <f t="array" ref="F878">_xlfn.IFS(G878&lt;5000000, "Bronze", G878&lt;10000000, "Silver", G878&lt;20000000, "Gold", G878&gt;=20000000, "Diamond")</f>
        <v>Diamond</v>
      </c>
      <c r="G878" s="11">
        <f>SUMIF(Data_Donasi[Nama_Donatur],Data_Donasi[[#This Row],[Nama_Donatur]],Data_Donasi[Nominal])</f>
        <v>73400000</v>
      </c>
    </row>
    <row r="879" spans="1:7" x14ac:dyDescent="0.3">
      <c r="A879" s="14" t="s">
        <v>67</v>
      </c>
      <c r="B879" s="4" t="s">
        <v>167</v>
      </c>
      <c r="C879" s="4" t="s">
        <v>267</v>
      </c>
      <c r="D879" s="9">
        <v>45899</v>
      </c>
      <c r="E879" s="12">
        <v>250000</v>
      </c>
      <c r="F879" t="str" cm="1">
        <f t="array" ref="F879">_xlfn.IFS(G879&lt;5000000, "Bronze", G879&lt;10000000, "Silver", G879&lt;20000000, "Gold", G879&gt;=20000000, "Diamond")</f>
        <v>Diamond</v>
      </c>
      <c r="G879" s="11">
        <f>SUMIF(Data_Donasi[Nama_Donatur],Data_Donasi[[#This Row],[Nama_Donatur]],Data_Donasi[Nominal])</f>
        <v>28450000</v>
      </c>
    </row>
    <row r="880" spans="1:7" x14ac:dyDescent="0.3">
      <c r="A880" s="14" t="s">
        <v>57</v>
      </c>
      <c r="B880" s="4" t="s">
        <v>157</v>
      </c>
      <c r="C880" s="4" t="s">
        <v>257</v>
      </c>
      <c r="D880" s="9">
        <v>45899</v>
      </c>
      <c r="E880" s="12">
        <v>5000000</v>
      </c>
      <c r="F880" t="str" cm="1">
        <f t="array" ref="F880">_xlfn.IFS(G880&lt;5000000, "Bronze", G880&lt;10000000, "Silver", G880&lt;20000000, "Gold", G880&gt;=20000000, "Diamond")</f>
        <v>Diamond</v>
      </c>
      <c r="G880" s="11">
        <f>SUMIF(Data_Donasi[Nama_Donatur],Data_Donasi[[#This Row],[Nama_Donatur]],Data_Donasi[Nominal])</f>
        <v>30750000</v>
      </c>
    </row>
    <row r="881" spans="1:7" x14ac:dyDescent="0.3">
      <c r="A881" s="14" t="s">
        <v>31</v>
      </c>
      <c r="B881" s="4" t="s">
        <v>131</v>
      </c>
      <c r="C881" s="4" t="s">
        <v>231</v>
      </c>
      <c r="D881" s="9">
        <v>45899</v>
      </c>
      <c r="E881" s="12">
        <v>20000000</v>
      </c>
      <c r="F881" t="str" cm="1">
        <f t="array" ref="F881">_xlfn.IFS(G881&lt;5000000, "Bronze", G881&lt;10000000, "Silver", G881&lt;20000000, "Gold", G881&gt;=20000000, "Diamond")</f>
        <v>Diamond</v>
      </c>
      <c r="G881" s="11">
        <f>SUMIF(Data_Donasi[Nama_Donatur],Data_Donasi[[#This Row],[Nama_Donatur]],Data_Donasi[Nominal])</f>
        <v>73400000</v>
      </c>
    </row>
    <row r="882" spans="1:7" x14ac:dyDescent="0.3">
      <c r="A882" s="14" t="s">
        <v>28</v>
      </c>
      <c r="B882" s="4" t="s">
        <v>128</v>
      </c>
      <c r="C882" s="4" t="s">
        <v>228</v>
      </c>
      <c r="D882" s="9">
        <v>45900</v>
      </c>
      <c r="E882" s="12">
        <v>3000000</v>
      </c>
      <c r="F882" t="str" cm="1">
        <f t="array" ref="F882">_xlfn.IFS(G882&lt;5000000, "Bronze", G882&lt;10000000, "Silver", G882&lt;20000000, "Gold", G882&gt;=20000000, "Diamond")</f>
        <v>Diamond</v>
      </c>
      <c r="G882" s="11">
        <f>SUMIF(Data_Donasi[Nama_Donatur],Data_Donasi[[#This Row],[Nama_Donatur]],Data_Donasi[Nominal])</f>
        <v>26900000</v>
      </c>
    </row>
    <row r="883" spans="1:7" x14ac:dyDescent="0.3">
      <c r="A883" s="14" t="s">
        <v>19</v>
      </c>
      <c r="B883" s="4" t="s">
        <v>119</v>
      </c>
      <c r="C883" s="4" t="s">
        <v>219</v>
      </c>
      <c r="D883" s="9">
        <v>45900</v>
      </c>
      <c r="E883" s="12">
        <v>100000</v>
      </c>
      <c r="F883" t="str" cm="1">
        <f t="array" ref="F883">_xlfn.IFS(G883&lt;5000000, "Bronze", G883&lt;10000000, "Silver", G883&lt;20000000, "Gold", G883&gt;=20000000, "Diamond")</f>
        <v>Diamond</v>
      </c>
      <c r="G883" s="11">
        <f>SUMIF(Data_Donasi[Nama_Donatur],Data_Donasi[[#This Row],[Nama_Donatur]],Data_Donasi[Nominal])</f>
        <v>63400000</v>
      </c>
    </row>
    <row r="884" spans="1:7" x14ac:dyDescent="0.3">
      <c r="A884" s="14" t="s">
        <v>27</v>
      </c>
      <c r="B884" s="4" t="s">
        <v>127</v>
      </c>
      <c r="C884" s="4" t="s">
        <v>227</v>
      </c>
      <c r="D884" s="9">
        <v>45901</v>
      </c>
      <c r="E884" s="12">
        <v>7000000</v>
      </c>
      <c r="F884" t="str" cm="1">
        <f t="array" ref="F884">_xlfn.IFS(G884&lt;5000000, "Bronze", G884&lt;10000000, "Silver", G884&lt;20000000, "Gold", G884&gt;=20000000, "Diamond")</f>
        <v>Diamond</v>
      </c>
      <c r="G884" s="11">
        <f>SUMIF(Data_Donasi[Nama_Donatur],Data_Donasi[[#This Row],[Nama_Donatur]],Data_Donasi[Nominal])</f>
        <v>29050000</v>
      </c>
    </row>
    <row r="885" spans="1:7" x14ac:dyDescent="0.3">
      <c r="A885" s="14" t="s">
        <v>83</v>
      </c>
      <c r="B885" s="4" t="s">
        <v>183</v>
      </c>
      <c r="C885" s="4" t="s">
        <v>283</v>
      </c>
      <c r="D885" s="9">
        <v>45901</v>
      </c>
      <c r="E885" s="12">
        <v>10000000</v>
      </c>
      <c r="F885" t="str" cm="1">
        <f t="array" ref="F885">_xlfn.IFS(G885&lt;5000000, "Bronze", G885&lt;10000000, "Silver", G885&lt;20000000, "Gold", G885&gt;=20000000, "Diamond")</f>
        <v>Diamond</v>
      </c>
      <c r="G885" s="11">
        <f>SUMIF(Data_Donasi[Nama_Donatur],Data_Donasi[[#This Row],[Nama_Donatur]],Data_Donasi[Nominal])</f>
        <v>47400000</v>
      </c>
    </row>
    <row r="886" spans="1:7" x14ac:dyDescent="0.3">
      <c r="A886" s="14" t="s">
        <v>50</v>
      </c>
      <c r="B886" s="4" t="s">
        <v>150</v>
      </c>
      <c r="C886" s="4" t="s">
        <v>250</v>
      </c>
      <c r="D886" s="9">
        <v>45901</v>
      </c>
      <c r="E886" s="12">
        <v>150000</v>
      </c>
      <c r="F886" t="str" cm="1">
        <f t="array" ref="F886">_xlfn.IFS(G886&lt;5000000, "Bronze", G886&lt;10000000, "Silver", G886&lt;20000000, "Gold", G886&gt;=20000000, "Diamond")</f>
        <v>Diamond</v>
      </c>
      <c r="G886" s="11">
        <f>SUMIF(Data_Donasi[Nama_Donatur],Data_Donasi[[#This Row],[Nama_Donatur]],Data_Donasi[Nominal])</f>
        <v>39700000</v>
      </c>
    </row>
    <row r="887" spans="1:7" x14ac:dyDescent="0.3">
      <c r="A887" s="14" t="s">
        <v>97</v>
      </c>
      <c r="B887" s="4" t="s">
        <v>197</v>
      </c>
      <c r="C887" s="4" t="s">
        <v>297</v>
      </c>
      <c r="D887" s="9">
        <v>45902</v>
      </c>
      <c r="E887" s="12">
        <v>500000</v>
      </c>
      <c r="F887" t="str" cm="1">
        <f t="array" ref="F887">_xlfn.IFS(G887&lt;5000000, "Bronze", G887&lt;10000000, "Silver", G887&lt;20000000, "Gold", G887&gt;=20000000, "Diamond")</f>
        <v>Diamond</v>
      </c>
      <c r="G887" s="11">
        <f>SUMIF(Data_Donasi[Nama_Donatur],Data_Donasi[[#This Row],[Nama_Donatur]],Data_Donasi[Nominal])</f>
        <v>52700000</v>
      </c>
    </row>
    <row r="888" spans="1:7" x14ac:dyDescent="0.3">
      <c r="A888" s="14" t="s">
        <v>80</v>
      </c>
      <c r="B888" s="4" t="s">
        <v>180</v>
      </c>
      <c r="C888" s="4" t="s">
        <v>280</v>
      </c>
      <c r="D888" s="9">
        <v>45902</v>
      </c>
      <c r="E888" s="12">
        <v>50000</v>
      </c>
      <c r="F888" t="str" cm="1">
        <f t="array" ref="F888">_xlfn.IFS(G888&lt;5000000, "Bronze", G888&lt;10000000, "Silver", G888&lt;20000000, "Gold", G888&gt;=20000000, "Diamond")</f>
        <v>Diamond</v>
      </c>
      <c r="G888" s="11">
        <f>SUMIF(Data_Donasi[Nama_Donatur],Data_Donasi[[#This Row],[Nama_Donatur]],Data_Donasi[Nominal])</f>
        <v>57850000</v>
      </c>
    </row>
    <row r="889" spans="1:7" x14ac:dyDescent="0.3">
      <c r="A889" s="14" t="s">
        <v>15</v>
      </c>
      <c r="B889" s="4" t="s">
        <v>115</v>
      </c>
      <c r="C889" s="4" t="s">
        <v>215</v>
      </c>
      <c r="D889" s="9">
        <v>45903</v>
      </c>
      <c r="E889" s="12">
        <v>100000</v>
      </c>
      <c r="F889" t="str" cm="1">
        <f t="array" ref="F889">_xlfn.IFS(G889&lt;5000000, "Bronze", G889&lt;10000000, "Silver", G889&lt;20000000, "Gold", G889&gt;=20000000, "Diamond")</f>
        <v>Diamond</v>
      </c>
      <c r="G889" s="11">
        <f>SUMIF(Data_Donasi[Nama_Donatur],Data_Donasi[[#This Row],[Nama_Donatur]],Data_Donasi[Nominal])</f>
        <v>84750000</v>
      </c>
    </row>
    <row r="890" spans="1:7" x14ac:dyDescent="0.3">
      <c r="A890" s="14" t="s">
        <v>24</v>
      </c>
      <c r="B890" s="4" t="s">
        <v>124</v>
      </c>
      <c r="C890" s="4" t="s">
        <v>224</v>
      </c>
      <c r="D890" s="9">
        <v>45903</v>
      </c>
      <c r="E890" s="12">
        <v>5000000</v>
      </c>
      <c r="F890" t="str" cm="1">
        <f t="array" ref="F890">_xlfn.IFS(G890&lt;5000000, "Bronze", G890&lt;10000000, "Silver", G890&lt;20000000, "Gold", G890&gt;=20000000, "Diamond")</f>
        <v>Diamond</v>
      </c>
      <c r="G890" s="11">
        <f>SUMIF(Data_Donasi[Nama_Donatur],Data_Donasi[[#This Row],[Nama_Donatur]],Data_Donasi[Nominal])</f>
        <v>37700000</v>
      </c>
    </row>
    <row r="891" spans="1:7" x14ac:dyDescent="0.3">
      <c r="A891" s="14" t="s">
        <v>14</v>
      </c>
      <c r="B891" s="4" t="s">
        <v>114</v>
      </c>
      <c r="C891" s="4" t="s">
        <v>214</v>
      </c>
      <c r="D891" s="9">
        <v>45904</v>
      </c>
      <c r="E891" s="12">
        <v>250000</v>
      </c>
      <c r="F891" t="str" cm="1">
        <f t="array" ref="F891">_xlfn.IFS(G891&lt;5000000, "Bronze", G891&lt;10000000, "Silver", G891&lt;20000000, "Gold", G891&gt;=20000000, "Diamond")</f>
        <v>Diamond</v>
      </c>
      <c r="G891" s="11">
        <f>SUMIF(Data_Donasi[Nama_Donatur],Data_Donasi[[#This Row],[Nama_Donatur]],Data_Donasi[Nominal])</f>
        <v>73750000</v>
      </c>
    </row>
    <row r="892" spans="1:7" x14ac:dyDescent="0.3">
      <c r="A892" s="14" t="s">
        <v>85</v>
      </c>
      <c r="B892" s="4" t="s">
        <v>185</v>
      </c>
      <c r="C892" s="4" t="s">
        <v>285</v>
      </c>
      <c r="D892" s="9">
        <v>45904</v>
      </c>
      <c r="E892" s="12">
        <v>5000000</v>
      </c>
      <c r="F892" t="str" cm="1">
        <f t="array" ref="F892">_xlfn.IFS(G892&lt;5000000, "Bronze", G892&lt;10000000, "Silver", G892&lt;20000000, "Gold", G892&gt;=20000000, "Diamond")</f>
        <v>Gold</v>
      </c>
      <c r="G892" s="11">
        <f>SUMIF(Data_Donasi[Nama_Donatur],Data_Donasi[[#This Row],[Nama_Donatur]],Data_Donasi[Nominal])</f>
        <v>18900000</v>
      </c>
    </row>
    <row r="893" spans="1:7" x14ac:dyDescent="0.3">
      <c r="A893" s="14" t="s">
        <v>9</v>
      </c>
      <c r="B893" s="4" t="s">
        <v>109</v>
      </c>
      <c r="C893" s="4" t="s">
        <v>209</v>
      </c>
      <c r="D893" s="9">
        <v>45904</v>
      </c>
      <c r="E893" s="12">
        <v>10000000</v>
      </c>
      <c r="F893" t="str" cm="1">
        <f t="array" ref="F893">_xlfn.IFS(G893&lt;5000000, "Bronze", G893&lt;10000000, "Silver", G893&lt;20000000, "Gold", G893&gt;=20000000, "Diamond")</f>
        <v>Diamond</v>
      </c>
      <c r="G893" s="11">
        <f>SUMIF(Data_Donasi[Nama_Donatur],Data_Donasi[[#This Row],[Nama_Donatur]],Data_Donasi[Nominal])</f>
        <v>24900000</v>
      </c>
    </row>
    <row r="894" spans="1:7" x14ac:dyDescent="0.3">
      <c r="A894" s="14" t="s">
        <v>30</v>
      </c>
      <c r="B894" s="4" t="s">
        <v>130</v>
      </c>
      <c r="C894" s="4" t="s">
        <v>230</v>
      </c>
      <c r="D894" s="9">
        <v>45905</v>
      </c>
      <c r="E894" s="12">
        <v>200000</v>
      </c>
      <c r="F894" t="str" cm="1">
        <f t="array" ref="F894">_xlfn.IFS(G894&lt;5000000, "Bronze", G894&lt;10000000, "Silver", G894&lt;20000000, "Gold", G894&gt;=20000000, "Diamond")</f>
        <v>Diamond</v>
      </c>
      <c r="G894" s="11">
        <f>SUMIF(Data_Donasi[Nama_Donatur],Data_Donasi[[#This Row],[Nama_Donatur]],Data_Donasi[Nominal])</f>
        <v>135600000</v>
      </c>
    </row>
    <row r="895" spans="1:7" x14ac:dyDescent="0.3">
      <c r="A895" s="14" t="s">
        <v>15</v>
      </c>
      <c r="B895" s="4" t="s">
        <v>115</v>
      </c>
      <c r="C895" s="4" t="s">
        <v>215</v>
      </c>
      <c r="D895" s="9">
        <v>45905</v>
      </c>
      <c r="E895" s="12">
        <v>10000000</v>
      </c>
      <c r="F895" t="str" cm="1">
        <f t="array" ref="F895">_xlfn.IFS(G895&lt;5000000, "Bronze", G895&lt;10000000, "Silver", G895&lt;20000000, "Gold", G895&gt;=20000000, "Diamond")</f>
        <v>Diamond</v>
      </c>
      <c r="G895" s="11">
        <f>SUMIF(Data_Donasi[Nama_Donatur],Data_Donasi[[#This Row],[Nama_Donatur]],Data_Donasi[Nominal])</f>
        <v>84750000</v>
      </c>
    </row>
    <row r="896" spans="1:7" x14ac:dyDescent="0.3">
      <c r="A896" s="14" t="s">
        <v>34</v>
      </c>
      <c r="B896" s="4" t="s">
        <v>134</v>
      </c>
      <c r="C896" s="4" t="s">
        <v>234</v>
      </c>
      <c r="D896" s="9">
        <v>45905</v>
      </c>
      <c r="E896" s="12">
        <v>150000</v>
      </c>
      <c r="F896" t="str" cm="1">
        <f t="array" ref="F896">_xlfn.IFS(G896&lt;5000000, "Bronze", G896&lt;10000000, "Silver", G896&lt;20000000, "Gold", G896&gt;=20000000, "Diamond")</f>
        <v>Gold</v>
      </c>
      <c r="G896" s="11">
        <f>SUMIF(Data_Donasi[Nama_Donatur],Data_Donasi[[#This Row],[Nama_Donatur]],Data_Donasi[Nominal])</f>
        <v>18400000</v>
      </c>
    </row>
    <row r="897" spans="1:7" x14ac:dyDescent="0.3">
      <c r="A897" s="14" t="s">
        <v>84</v>
      </c>
      <c r="B897" s="4" t="s">
        <v>184</v>
      </c>
      <c r="C897" s="4" t="s">
        <v>284</v>
      </c>
      <c r="D897" s="9">
        <v>45906</v>
      </c>
      <c r="E897" s="12">
        <v>3000000</v>
      </c>
      <c r="F897" t="str" cm="1">
        <f t="array" ref="F897">_xlfn.IFS(G897&lt;5000000, "Bronze", G897&lt;10000000, "Silver", G897&lt;20000000, "Gold", G897&gt;=20000000, "Diamond")</f>
        <v>Diamond</v>
      </c>
      <c r="G897" s="11">
        <f>SUMIF(Data_Donasi[Nama_Donatur],Data_Donasi[[#This Row],[Nama_Donatur]],Data_Donasi[Nominal])</f>
        <v>33150000</v>
      </c>
    </row>
    <row r="898" spans="1:7" x14ac:dyDescent="0.3">
      <c r="A898" s="14" t="s">
        <v>20</v>
      </c>
      <c r="B898" s="4" t="s">
        <v>120</v>
      </c>
      <c r="C898" s="4" t="s">
        <v>220</v>
      </c>
      <c r="D898" s="9">
        <v>45906</v>
      </c>
      <c r="E898" s="12">
        <v>150000</v>
      </c>
      <c r="F898" t="str" cm="1">
        <f t="array" ref="F898">_xlfn.IFS(G898&lt;5000000, "Bronze", G898&lt;10000000, "Silver", G898&lt;20000000, "Gold", G898&gt;=20000000, "Diamond")</f>
        <v>Diamond</v>
      </c>
      <c r="G898" s="11">
        <f>SUMIF(Data_Donasi[Nama_Donatur],Data_Donasi[[#This Row],[Nama_Donatur]],Data_Donasi[Nominal])</f>
        <v>25800000</v>
      </c>
    </row>
    <row r="899" spans="1:7" x14ac:dyDescent="0.3">
      <c r="A899" s="14" t="s">
        <v>35</v>
      </c>
      <c r="B899" s="4" t="s">
        <v>135</v>
      </c>
      <c r="C899" s="4" t="s">
        <v>235</v>
      </c>
      <c r="D899" s="9">
        <v>45906</v>
      </c>
      <c r="E899" s="12">
        <v>50000</v>
      </c>
      <c r="F899" t="str" cm="1">
        <f t="array" ref="F899">_xlfn.IFS(G899&lt;5000000, "Bronze", G899&lt;10000000, "Silver", G899&lt;20000000, "Gold", G899&gt;=20000000, "Diamond")</f>
        <v>Diamond</v>
      </c>
      <c r="G899" s="11">
        <f>SUMIF(Data_Donasi[Nama_Donatur],Data_Donasi[[#This Row],[Nama_Donatur]],Data_Donasi[Nominal])</f>
        <v>97200000</v>
      </c>
    </row>
    <row r="900" spans="1:7" x14ac:dyDescent="0.3">
      <c r="A900" s="14" t="s">
        <v>92</v>
      </c>
      <c r="B900" s="4" t="s">
        <v>192</v>
      </c>
      <c r="C900" s="4" t="s">
        <v>292</v>
      </c>
      <c r="D900" s="9">
        <v>45907</v>
      </c>
      <c r="E900" s="12">
        <v>50000</v>
      </c>
      <c r="F900" t="str" cm="1">
        <f t="array" ref="F900">_xlfn.IFS(G900&lt;5000000, "Bronze", G900&lt;10000000, "Silver", G900&lt;20000000, "Gold", G900&gt;=20000000, "Diamond")</f>
        <v>Diamond</v>
      </c>
      <c r="G900" s="11">
        <f>SUMIF(Data_Donasi[Nama_Donatur],Data_Donasi[[#This Row],[Nama_Donatur]],Data_Donasi[Nominal])</f>
        <v>55700000</v>
      </c>
    </row>
    <row r="901" spans="1:7" x14ac:dyDescent="0.3">
      <c r="A901" s="14" t="s">
        <v>72</v>
      </c>
      <c r="B901" s="4" t="s">
        <v>172</v>
      </c>
      <c r="C901" s="4" t="s">
        <v>272</v>
      </c>
      <c r="D901" s="9">
        <v>45907</v>
      </c>
      <c r="E901" s="12">
        <v>500000</v>
      </c>
      <c r="F901" t="str" cm="1">
        <f t="array" ref="F901">_xlfn.IFS(G901&lt;5000000, "Bronze", G901&lt;10000000, "Silver", G901&lt;20000000, "Gold", G901&gt;=20000000, "Diamond")</f>
        <v>Diamond</v>
      </c>
      <c r="G901" s="11">
        <f>SUMIF(Data_Donasi[Nama_Donatur],Data_Donasi[[#This Row],[Nama_Donatur]],Data_Donasi[Nominal])</f>
        <v>53250000</v>
      </c>
    </row>
    <row r="902" spans="1:7" x14ac:dyDescent="0.3">
      <c r="A902" s="14" t="s">
        <v>80</v>
      </c>
      <c r="B902" s="4" t="s">
        <v>180</v>
      </c>
      <c r="C902" s="4" t="s">
        <v>280</v>
      </c>
      <c r="D902" s="9">
        <v>45908</v>
      </c>
      <c r="E902" s="12">
        <v>500000</v>
      </c>
      <c r="F902" t="str" cm="1">
        <f t="array" ref="F902">_xlfn.IFS(G902&lt;5000000, "Bronze", G902&lt;10000000, "Silver", G902&lt;20000000, "Gold", G902&gt;=20000000, "Diamond")</f>
        <v>Diamond</v>
      </c>
      <c r="G902" s="11">
        <f>SUMIF(Data_Donasi[Nama_Donatur],Data_Donasi[[#This Row],[Nama_Donatur]],Data_Donasi[Nominal])</f>
        <v>57850000</v>
      </c>
    </row>
    <row r="903" spans="1:7" x14ac:dyDescent="0.3">
      <c r="A903" s="14" t="s">
        <v>41</v>
      </c>
      <c r="B903" s="4" t="s">
        <v>141</v>
      </c>
      <c r="C903" s="4" t="s">
        <v>241</v>
      </c>
      <c r="D903" s="9">
        <v>45909</v>
      </c>
      <c r="E903" s="12">
        <v>1000000</v>
      </c>
      <c r="F903" t="str" cm="1">
        <f t="array" ref="F903">_xlfn.IFS(G903&lt;5000000, "Bronze", G903&lt;10000000, "Silver", G903&lt;20000000, "Gold", G903&gt;=20000000, "Diamond")</f>
        <v>Gold</v>
      </c>
      <c r="G903" s="11">
        <f>SUMIF(Data_Donasi[Nama_Donatur],Data_Donasi[[#This Row],[Nama_Donatur]],Data_Donasi[Nominal])</f>
        <v>10400000</v>
      </c>
    </row>
    <row r="904" spans="1:7" x14ac:dyDescent="0.3">
      <c r="A904" s="14" t="s">
        <v>15</v>
      </c>
      <c r="B904" s="4" t="s">
        <v>115</v>
      </c>
      <c r="C904" s="4" t="s">
        <v>215</v>
      </c>
      <c r="D904" s="9">
        <v>45909</v>
      </c>
      <c r="E904" s="12">
        <v>20000000</v>
      </c>
      <c r="F904" t="str" cm="1">
        <f t="array" ref="F904">_xlfn.IFS(G904&lt;5000000, "Bronze", G904&lt;10000000, "Silver", G904&lt;20000000, "Gold", G904&gt;=20000000, "Diamond")</f>
        <v>Diamond</v>
      </c>
      <c r="G904" s="11">
        <f>SUMIF(Data_Donasi[Nama_Donatur],Data_Donasi[[#This Row],[Nama_Donatur]],Data_Donasi[Nominal])</f>
        <v>84750000</v>
      </c>
    </row>
    <row r="905" spans="1:7" x14ac:dyDescent="0.3">
      <c r="A905" s="14" t="s">
        <v>11</v>
      </c>
      <c r="B905" s="4" t="s">
        <v>111</v>
      </c>
      <c r="C905" s="4" t="s">
        <v>211</v>
      </c>
      <c r="D905" s="9">
        <v>45910</v>
      </c>
      <c r="E905" s="12">
        <v>150000</v>
      </c>
      <c r="F905" t="str" cm="1">
        <f t="array" ref="F905">_xlfn.IFS(G905&lt;5000000, "Bronze", G905&lt;10000000, "Silver", G905&lt;20000000, "Gold", G905&gt;=20000000, "Diamond")</f>
        <v>Diamond</v>
      </c>
      <c r="G905" s="11">
        <f>SUMIF(Data_Donasi[Nama_Donatur],Data_Donasi[[#This Row],[Nama_Donatur]],Data_Donasi[Nominal])</f>
        <v>26800000</v>
      </c>
    </row>
    <row r="906" spans="1:7" x14ac:dyDescent="0.3">
      <c r="A906" s="14" t="s">
        <v>86</v>
      </c>
      <c r="B906" s="4" t="s">
        <v>186</v>
      </c>
      <c r="C906" s="4" t="s">
        <v>286</v>
      </c>
      <c r="D906" s="9">
        <v>45910</v>
      </c>
      <c r="E906" s="12">
        <v>150000</v>
      </c>
      <c r="F906" t="str" cm="1">
        <f t="array" ref="F906">_xlfn.IFS(G906&lt;5000000, "Bronze", G906&lt;10000000, "Silver", G906&lt;20000000, "Gold", G906&gt;=20000000, "Diamond")</f>
        <v>Diamond</v>
      </c>
      <c r="G906" s="11">
        <f>SUMIF(Data_Donasi[Nama_Donatur],Data_Donasi[[#This Row],[Nama_Donatur]],Data_Donasi[Nominal])</f>
        <v>50500000</v>
      </c>
    </row>
    <row r="907" spans="1:7" x14ac:dyDescent="0.3">
      <c r="A907" s="14" t="s">
        <v>98</v>
      </c>
      <c r="B907" s="4" t="s">
        <v>198</v>
      </c>
      <c r="C907" s="4" t="s">
        <v>298</v>
      </c>
      <c r="D907" s="9">
        <v>45910</v>
      </c>
      <c r="E907" s="12">
        <v>250000</v>
      </c>
      <c r="F907" t="str" cm="1">
        <f t="array" ref="F907">_xlfn.IFS(G907&lt;5000000, "Bronze", G907&lt;10000000, "Silver", G907&lt;20000000, "Gold", G907&gt;=20000000, "Diamond")</f>
        <v>Diamond</v>
      </c>
      <c r="G907" s="11">
        <f>SUMIF(Data_Donasi[Nama_Donatur],Data_Donasi[[#This Row],[Nama_Donatur]],Data_Donasi[Nominal])</f>
        <v>36400000</v>
      </c>
    </row>
    <row r="908" spans="1:7" x14ac:dyDescent="0.3">
      <c r="A908" s="14" t="s">
        <v>32</v>
      </c>
      <c r="B908" s="4" t="s">
        <v>132</v>
      </c>
      <c r="C908" s="4" t="s">
        <v>232</v>
      </c>
      <c r="D908" s="9">
        <v>45910</v>
      </c>
      <c r="E908" s="12">
        <v>250000</v>
      </c>
      <c r="F908" t="str" cm="1">
        <f t="array" ref="F908">_xlfn.IFS(G908&lt;5000000, "Bronze", G908&lt;10000000, "Silver", G908&lt;20000000, "Gold", G908&gt;=20000000, "Diamond")</f>
        <v>Diamond</v>
      </c>
      <c r="G908" s="11">
        <f>SUMIF(Data_Donasi[Nama_Donatur],Data_Donasi[[#This Row],[Nama_Donatur]],Data_Donasi[Nominal])</f>
        <v>23800000</v>
      </c>
    </row>
    <row r="909" spans="1:7" x14ac:dyDescent="0.3">
      <c r="A909" s="14" t="s">
        <v>44</v>
      </c>
      <c r="B909" s="4" t="s">
        <v>144</v>
      </c>
      <c r="C909" s="4" t="s">
        <v>244</v>
      </c>
      <c r="D909" s="9">
        <v>45910</v>
      </c>
      <c r="E909" s="12">
        <v>20000000</v>
      </c>
      <c r="F909" t="str" cm="1">
        <f t="array" ref="F909">_xlfn.IFS(G909&lt;5000000, "Bronze", G909&lt;10000000, "Silver", G909&lt;20000000, "Gold", G909&gt;=20000000, "Diamond")</f>
        <v>Diamond</v>
      </c>
      <c r="G909" s="11">
        <f>SUMIF(Data_Donasi[Nama_Donatur],Data_Donasi[[#This Row],[Nama_Donatur]],Data_Donasi[Nominal])</f>
        <v>66400000</v>
      </c>
    </row>
    <row r="910" spans="1:7" x14ac:dyDescent="0.3">
      <c r="A910" s="14" t="s">
        <v>92</v>
      </c>
      <c r="B910" s="4" t="s">
        <v>192</v>
      </c>
      <c r="C910" s="4" t="s">
        <v>292</v>
      </c>
      <c r="D910" s="9">
        <v>45910</v>
      </c>
      <c r="E910" s="12">
        <v>7000000</v>
      </c>
      <c r="F910" t="str" cm="1">
        <f t="array" ref="F910">_xlfn.IFS(G910&lt;5000000, "Bronze", G910&lt;10000000, "Silver", G910&lt;20000000, "Gold", G910&gt;=20000000, "Diamond")</f>
        <v>Diamond</v>
      </c>
      <c r="G910" s="11">
        <f>SUMIF(Data_Donasi[Nama_Donatur],Data_Donasi[[#This Row],[Nama_Donatur]],Data_Donasi[Nominal])</f>
        <v>55700000</v>
      </c>
    </row>
    <row r="911" spans="1:7" x14ac:dyDescent="0.3">
      <c r="A911" s="14" t="s">
        <v>92</v>
      </c>
      <c r="B911" s="4" t="s">
        <v>192</v>
      </c>
      <c r="C911" s="4" t="s">
        <v>292</v>
      </c>
      <c r="D911" s="9">
        <v>45911</v>
      </c>
      <c r="E911" s="12">
        <v>1000000</v>
      </c>
      <c r="F911" t="str" cm="1">
        <f t="array" ref="F911">_xlfn.IFS(G911&lt;5000000, "Bronze", G911&lt;10000000, "Silver", G911&lt;20000000, "Gold", G911&gt;=20000000, "Diamond")</f>
        <v>Diamond</v>
      </c>
      <c r="G911" s="11">
        <f>SUMIF(Data_Donasi[Nama_Donatur],Data_Donasi[[#This Row],[Nama_Donatur]],Data_Donasi[Nominal])</f>
        <v>55700000</v>
      </c>
    </row>
    <row r="912" spans="1:7" x14ac:dyDescent="0.3">
      <c r="A912" s="14" t="s">
        <v>87</v>
      </c>
      <c r="B912" s="4" t="s">
        <v>187</v>
      </c>
      <c r="C912" s="4" t="s">
        <v>287</v>
      </c>
      <c r="D912" s="9">
        <v>45911</v>
      </c>
      <c r="E912" s="12">
        <v>200000</v>
      </c>
      <c r="F912" t="str" cm="1">
        <f t="array" ref="F912">_xlfn.IFS(G912&lt;5000000, "Bronze", G912&lt;10000000, "Silver", G912&lt;20000000, "Gold", G912&gt;=20000000, "Diamond")</f>
        <v>Diamond</v>
      </c>
      <c r="G912" s="11">
        <f>SUMIF(Data_Donasi[Nama_Donatur],Data_Donasi[[#This Row],[Nama_Donatur]],Data_Donasi[Nominal])</f>
        <v>26100000</v>
      </c>
    </row>
    <row r="913" spans="1:7" x14ac:dyDescent="0.3">
      <c r="A913" s="14" t="s">
        <v>33</v>
      </c>
      <c r="B913" s="4" t="s">
        <v>133</v>
      </c>
      <c r="C913" s="4" t="s">
        <v>233</v>
      </c>
      <c r="D913" s="9">
        <v>45911</v>
      </c>
      <c r="E913" s="12">
        <v>1000000</v>
      </c>
      <c r="F913" t="str" cm="1">
        <f t="array" ref="F913">_xlfn.IFS(G913&lt;5000000, "Bronze", G913&lt;10000000, "Silver", G913&lt;20000000, "Gold", G913&gt;=20000000, "Diamond")</f>
        <v>Diamond</v>
      </c>
      <c r="G913" s="11">
        <f>SUMIF(Data_Donasi[Nama_Donatur],Data_Donasi[[#This Row],[Nama_Donatur]],Data_Donasi[Nominal])</f>
        <v>56850000</v>
      </c>
    </row>
    <row r="914" spans="1:7" x14ac:dyDescent="0.3">
      <c r="A914" s="14" t="s">
        <v>55</v>
      </c>
      <c r="B914" s="4" t="s">
        <v>155</v>
      </c>
      <c r="C914" s="4" t="s">
        <v>255</v>
      </c>
      <c r="D914" s="9">
        <v>45911</v>
      </c>
      <c r="E914" s="12">
        <v>1000000</v>
      </c>
      <c r="F914" t="str" cm="1">
        <f t="array" ref="F914">_xlfn.IFS(G914&lt;5000000, "Bronze", G914&lt;10000000, "Silver", G914&lt;20000000, "Gold", G914&gt;=20000000, "Diamond")</f>
        <v>Diamond</v>
      </c>
      <c r="G914" s="11">
        <f>SUMIF(Data_Donasi[Nama_Donatur],Data_Donasi[[#This Row],[Nama_Donatur]],Data_Donasi[Nominal])</f>
        <v>50950000</v>
      </c>
    </row>
    <row r="915" spans="1:7" x14ac:dyDescent="0.3">
      <c r="A915" s="14" t="s">
        <v>99</v>
      </c>
      <c r="B915" s="4" t="s">
        <v>199</v>
      </c>
      <c r="C915" s="4" t="s">
        <v>299</v>
      </c>
      <c r="D915" s="9">
        <v>45911</v>
      </c>
      <c r="E915" s="12">
        <v>150000</v>
      </c>
      <c r="F915" t="str" cm="1">
        <f t="array" ref="F915">_xlfn.IFS(G915&lt;5000000, "Bronze", G915&lt;10000000, "Silver", G915&lt;20000000, "Gold", G915&gt;=20000000, "Diamond")</f>
        <v>Diamond</v>
      </c>
      <c r="G915" s="11">
        <f>SUMIF(Data_Donasi[Nama_Donatur],Data_Donasi[[#This Row],[Nama_Donatur]],Data_Donasi[Nominal])</f>
        <v>26300000</v>
      </c>
    </row>
    <row r="916" spans="1:7" x14ac:dyDescent="0.3">
      <c r="A916" s="14" t="s">
        <v>42</v>
      </c>
      <c r="B916" s="4" t="s">
        <v>142</v>
      </c>
      <c r="C916" s="4" t="s">
        <v>242</v>
      </c>
      <c r="D916" s="9">
        <v>45911</v>
      </c>
      <c r="E916" s="12">
        <v>100000</v>
      </c>
      <c r="F916" t="str" cm="1">
        <f t="array" ref="F916">_xlfn.IFS(G916&lt;5000000, "Bronze", G916&lt;10000000, "Silver", G916&lt;20000000, "Gold", G916&gt;=20000000, "Diamond")</f>
        <v>Diamond</v>
      </c>
      <c r="G916" s="11">
        <f>SUMIF(Data_Donasi[Nama_Donatur],Data_Donasi[[#This Row],[Nama_Donatur]],Data_Donasi[Nominal])</f>
        <v>42100000</v>
      </c>
    </row>
    <row r="917" spans="1:7" x14ac:dyDescent="0.3">
      <c r="A917" s="14" t="s">
        <v>37</v>
      </c>
      <c r="B917" s="4" t="s">
        <v>137</v>
      </c>
      <c r="C917" s="4" t="s">
        <v>237</v>
      </c>
      <c r="D917" s="9">
        <v>45912</v>
      </c>
      <c r="E917" s="12">
        <v>5000000</v>
      </c>
      <c r="F917" t="str" cm="1">
        <f t="array" ref="F917">_xlfn.IFS(G917&lt;5000000, "Bronze", G917&lt;10000000, "Silver", G917&lt;20000000, "Gold", G917&gt;=20000000, "Diamond")</f>
        <v>Diamond</v>
      </c>
      <c r="G917" s="11">
        <f>SUMIF(Data_Donasi[Nama_Donatur],Data_Donasi[[#This Row],[Nama_Donatur]],Data_Donasi[Nominal])</f>
        <v>26200000</v>
      </c>
    </row>
    <row r="918" spans="1:7" x14ac:dyDescent="0.3">
      <c r="A918" s="14" t="s">
        <v>34</v>
      </c>
      <c r="B918" s="4" t="s">
        <v>134</v>
      </c>
      <c r="C918" s="4" t="s">
        <v>234</v>
      </c>
      <c r="D918" s="9">
        <v>45912</v>
      </c>
      <c r="E918" s="12">
        <v>250000</v>
      </c>
      <c r="F918" t="str" cm="1">
        <f t="array" ref="F918">_xlfn.IFS(G918&lt;5000000, "Bronze", G918&lt;10000000, "Silver", G918&lt;20000000, "Gold", G918&gt;=20000000, "Diamond")</f>
        <v>Gold</v>
      </c>
      <c r="G918" s="11">
        <f>SUMIF(Data_Donasi[Nama_Donatur],Data_Donasi[[#This Row],[Nama_Donatur]],Data_Donasi[Nominal])</f>
        <v>18400000</v>
      </c>
    </row>
    <row r="919" spans="1:7" x14ac:dyDescent="0.3">
      <c r="A919" s="14" t="s">
        <v>95</v>
      </c>
      <c r="B919" s="4" t="s">
        <v>195</v>
      </c>
      <c r="C919" s="4" t="s">
        <v>295</v>
      </c>
      <c r="D919" s="9">
        <v>45912</v>
      </c>
      <c r="E919" s="12">
        <v>200000</v>
      </c>
      <c r="F919" t="str" cm="1">
        <f t="array" ref="F919">_xlfn.IFS(G919&lt;5000000, "Bronze", G919&lt;10000000, "Silver", G919&lt;20000000, "Gold", G919&gt;=20000000, "Diamond")</f>
        <v>Diamond</v>
      </c>
      <c r="G919" s="11">
        <f>SUMIF(Data_Donasi[Nama_Donatur],Data_Donasi[[#This Row],[Nama_Donatur]],Data_Donasi[Nominal])</f>
        <v>30000000</v>
      </c>
    </row>
    <row r="920" spans="1:7" x14ac:dyDescent="0.3">
      <c r="A920" s="14" t="s">
        <v>58</v>
      </c>
      <c r="B920" s="4" t="s">
        <v>158</v>
      </c>
      <c r="C920" s="4" t="s">
        <v>258</v>
      </c>
      <c r="D920" s="9">
        <v>45912</v>
      </c>
      <c r="E920" s="12">
        <v>10000000</v>
      </c>
      <c r="F920" t="str" cm="1">
        <f t="array" ref="F920">_xlfn.IFS(G920&lt;5000000, "Bronze", G920&lt;10000000, "Silver", G920&lt;20000000, "Gold", G920&gt;=20000000, "Diamond")</f>
        <v>Gold</v>
      </c>
      <c r="G920" s="11">
        <f>SUMIF(Data_Donasi[Nama_Donatur],Data_Donasi[[#This Row],[Nama_Donatur]],Data_Donasi[Nominal])</f>
        <v>12000000</v>
      </c>
    </row>
    <row r="921" spans="1:7" x14ac:dyDescent="0.3">
      <c r="A921" s="14" t="s">
        <v>17</v>
      </c>
      <c r="B921" s="4" t="s">
        <v>117</v>
      </c>
      <c r="C921" s="4" t="s">
        <v>217</v>
      </c>
      <c r="D921" s="9">
        <v>45912</v>
      </c>
      <c r="E921" s="12">
        <v>5000000</v>
      </c>
      <c r="F921" t="str" cm="1">
        <f t="array" ref="F921">_xlfn.IFS(G921&lt;5000000, "Bronze", G921&lt;10000000, "Silver", G921&lt;20000000, "Gold", G921&gt;=20000000, "Diamond")</f>
        <v>Diamond</v>
      </c>
      <c r="G921" s="11">
        <f>SUMIF(Data_Donasi[Nama_Donatur],Data_Donasi[[#This Row],[Nama_Donatur]],Data_Donasi[Nominal])</f>
        <v>86000000</v>
      </c>
    </row>
    <row r="922" spans="1:7" x14ac:dyDescent="0.3">
      <c r="A922" s="14" t="s">
        <v>25</v>
      </c>
      <c r="B922" s="4" t="s">
        <v>125</v>
      </c>
      <c r="C922" s="4" t="s">
        <v>225</v>
      </c>
      <c r="D922" s="9">
        <v>45913</v>
      </c>
      <c r="E922" s="12">
        <v>50000</v>
      </c>
      <c r="F922" t="str" cm="1">
        <f t="array" ref="F922">_xlfn.IFS(G922&lt;5000000, "Bronze", G922&lt;10000000, "Silver", G922&lt;20000000, "Gold", G922&gt;=20000000, "Diamond")</f>
        <v>Diamond</v>
      </c>
      <c r="G922" s="11">
        <f>SUMIF(Data_Donasi[Nama_Donatur],Data_Donasi[[#This Row],[Nama_Donatur]],Data_Donasi[Nominal])</f>
        <v>41700000</v>
      </c>
    </row>
    <row r="923" spans="1:7" x14ac:dyDescent="0.3">
      <c r="A923" s="14" t="s">
        <v>23</v>
      </c>
      <c r="B923" s="4" t="s">
        <v>123</v>
      </c>
      <c r="C923" s="4" t="s">
        <v>223</v>
      </c>
      <c r="D923" s="9">
        <v>45913</v>
      </c>
      <c r="E923" s="12">
        <v>7000000</v>
      </c>
      <c r="F923" t="str" cm="1">
        <f t="array" ref="F923">_xlfn.IFS(G923&lt;5000000, "Bronze", G923&lt;10000000, "Silver", G923&lt;20000000, "Gold", G923&gt;=20000000, "Diamond")</f>
        <v>Diamond</v>
      </c>
      <c r="G923" s="11">
        <f>SUMIF(Data_Donasi[Nama_Donatur],Data_Donasi[[#This Row],[Nama_Donatur]],Data_Donasi[Nominal])</f>
        <v>55250000</v>
      </c>
    </row>
    <row r="924" spans="1:7" x14ac:dyDescent="0.3">
      <c r="A924" s="14" t="s">
        <v>22</v>
      </c>
      <c r="B924" s="4" t="s">
        <v>122</v>
      </c>
      <c r="C924" s="4" t="s">
        <v>222</v>
      </c>
      <c r="D924" s="9">
        <v>45913</v>
      </c>
      <c r="E924" s="12">
        <v>3000000</v>
      </c>
      <c r="F924" t="str" cm="1">
        <f t="array" ref="F924">_xlfn.IFS(G924&lt;5000000, "Bronze", G924&lt;10000000, "Silver", G924&lt;20000000, "Gold", G924&gt;=20000000, "Diamond")</f>
        <v>Diamond</v>
      </c>
      <c r="G924" s="11">
        <f>SUMIF(Data_Donasi[Nama_Donatur],Data_Donasi[[#This Row],[Nama_Donatur]],Data_Donasi[Nominal])</f>
        <v>67900000</v>
      </c>
    </row>
    <row r="925" spans="1:7" x14ac:dyDescent="0.3">
      <c r="A925" s="14" t="s">
        <v>40</v>
      </c>
      <c r="B925" s="4" t="s">
        <v>140</v>
      </c>
      <c r="C925" s="4" t="s">
        <v>240</v>
      </c>
      <c r="D925" s="9">
        <v>45914</v>
      </c>
      <c r="E925" s="12">
        <v>5000000</v>
      </c>
      <c r="F925" t="str" cm="1">
        <f t="array" ref="F925">_xlfn.IFS(G925&lt;5000000, "Bronze", G925&lt;10000000, "Silver", G925&lt;20000000, "Gold", G925&gt;=20000000, "Diamond")</f>
        <v>Diamond</v>
      </c>
      <c r="G925" s="11">
        <f>SUMIF(Data_Donasi[Nama_Donatur],Data_Donasi[[#This Row],[Nama_Donatur]],Data_Donasi[Nominal])</f>
        <v>45950000</v>
      </c>
    </row>
    <row r="926" spans="1:7" x14ac:dyDescent="0.3">
      <c r="A926" s="14" t="s">
        <v>71</v>
      </c>
      <c r="B926" s="4" t="s">
        <v>171</v>
      </c>
      <c r="C926" s="4" t="s">
        <v>271</v>
      </c>
      <c r="D926" s="9">
        <v>45914</v>
      </c>
      <c r="E926" s="12">
        <v>7000000</v>
      </c>
      <c r="F926" t="str" cm="1">
        <f t="array" ref="F926">_xlfn.IFS(G926&lt;5000000, "Bronze", G926&lt;10000000, "Silver", G926&lt;20000000, "Gold", G926&gt;=20000000, "Diamond")</f>
        <v>Gold</v>
      </c>
      <c r="G926" s="11">
        <f>SUMIF(Data_Donasi[Nama_Donatur],Data_Donasi[[#This Row],[Nama_Donatur]],Data_Donasi[Nominal])</f>
        <v>15200000</v>
      </c>
    </row>
    <row r="927" spans="1:7" x14ac:dyDescent="0.3">
      <c r="A927" s="14" t="s">
        <v>99</v>
      </c>
      <c r="B927" s="4" t="s">
        <v>199</v>
      </c>
      <c r="C927" s="4" t="s">
        <v>299</v>
      </c>
      <c r="D927" s="9">
        <v>45914</v>
      </c>
      <c r="E927" s="12">
        <v>7000000</v>
      </c>
      <c r="F927" t="str" cm="1">
        <f t="array" ref="F927">_xlfn.IFS(G927&lt;5000000, "Bronze", G927&lt;10000000, "Silver", G927&lt;20000000, "Gold", G927&gt;=20000000, "Diamond")</f>
        <v>Diamond</v>
      </c>
      <c r="G927" s="11">
        <f>SUMIF(Data_Donasi[Nama_Donatur],Data_Donasi[[#This Row],[Nama_Donatur]],Data_Donasi[Nominal])</f>
        <v>26300000</v>
      </c>
    </row>
    <row r="928" spans="1:7" x14ac:dyDescent="0.3">
      <c r="A928" s="14" t="s">
        <v>43</v>
      </c>
      <c r="B928" s="4" t="s">
        <v>143</v>
      </c>
      <c r="C928" s="4" t="s">
        <v>243</v>
      </c>
      <c r="D928" s="9">
        <v>45914</v>
      </c>
      <c r="E928" s="12">
        <v>1000000</v>
      </c>
      <c r="F928" t="str" cm="1">
        <f t="array" ref="F928">_xlfn.IFS(G928&lt;5000000, "Bronze", G928&lt;10000000, "Silver", G928&lt;20000000, "Gold", G928&gt;=20000000, "Diamond")</f>
        <v>Diamond</v>
      </c>
      <c r="G928" s="11">
        <f>SUMIF(Data_Donasi[Nama_Donatur],Data_Donasi[[#This Row],[Nama_Donatur]],Data_Donasi[Nominal])</f>
        <v>32400000</v>
      </c>
    </row>
    <row r="929" spans="1:7" x14ac:dyDescent="0.3">
      <c r="A929" s="14" t="s">
        <v>30</v>
      </c>
      <c r="B929" s="4" t="s">
        <v>130</v>
      </c>
      <c r="C929" s="4" t="s">
        <v>230</v>
      </c>
      <c r="D929" s="9">
        <v>45915</v>
      </c>
      <c r="E929" s="12">
        <v>10000000</v>
      </c>
      <c r="F929" t="str" cm="1">
        <f t="array" ref="F929">_xlfn.IFS(G929&lt;5000000, "Bronze", G929&lt;10000000, "Silver", G929&lt;20000000, "Gold", G929&gt;=20000000, "Diamond")</f>
        <v>Diamond</v>
      </c>
      <c r="G929" s="11">
        <f>SUMIF(Data_Donasi[Nama_Donatur],Data_Donasi[[#This Row],[Nama_Donatur]],Data_Donasi[Nominal])</f>
        <v>135600000</v>
      </c>
    </row>
    <row r="930" spans="1:7" x14ac:dyDescent="0.3">
      <c r="A930" s="14" t="s">
        <v>45</v>
      </c>
      <c r="B930" s="4" t="s">
        <v>145</v>
      </c>
      <c r="C930" s="4" t="s">
        <v>245</v>
      </c>
      <c r="D930" s="9">
        <v>45915</v>
      </c>
      <c r="E930" s="12">
        <v>100000</v>
      </c>
      <c r="F930" t="str" cm="1">
        <f t="array" ref="F930">_xlfn.IFS(G930&lt;5000000, "Bronze", G930&lt;10000000, "Silver", G930&lt;20000000, "Gold", G930&gt;=20000000, "Diamond")</f>
        <v>Diamond</v>
      </c>
      <c r="G930" s="11">
        <f>SUMIF(Data_Donasi[Nama_Donatur],Data_Donasi[[#This Row],[Nama_Donatur]],Data_Donasi[Nominal])</f>
        <v>42850000</v>
      </c>
    </row>
    <row r="931" spans="1:7" x14ac:dyDescent="0.3">
      <c r="A931" s="14" t="s">
        <v>51</v>
      </c>
      <c r="B931" s="4" t="s">
        <v>151</v>
      </c>
      <c r="C931" s="4" t="s">
        <v>251</v>
      </c>
      <c r="D931" s="9">
        <v>45915</v>
      </c>
      <c r="E931" s="12">
        <v>1000000</v>
      </c>
      <c r="F931" t="str" cm="1">
        <f t="array" ref="F931">_xlfn.IFS(G931&lt;5000000, "Bronze", G931&lt;10000000, "Silver", G931&lt;20000000, "Gold", G931&gt;=20000000, "Diamond")</f>
        <v>Diamond</v>
      </c>
      <c r="G931" s="11">
        <f>SUMIF(Data_Donasi[Nama_Donatur],Data_Donasi[[#This Row],[Nama_Donatur]],Data_Donasi[Nominal])</f>
        <v>46450000</v>
      </c>
    </row>
    <row r="932" spans="1:7" x14ac:dyDescent="0.3">
      <c r="A932" s="14" t="s">
        <v>85</v>
      </c>
      <c r="B932" s="4" t="s">
        <v>185</v>
      </c>
      <c r="C932" s="4" t="s">
        <v>285</v>
      </c>
      <c r="D932" s="9">
        <v>45915</v>
      </c>
      <c r="E932" s="12">
        <v>5000000</v>
      </c>
      <c r="F932" t="str" cm="1">
        <f t="array" ref="F932">_xlfn.IFS(G932&lt;5000000, "Bronze", G932&lt;10000000, "Silver", G932&lt;20000000, "Gold", G932&gt;=20000000, "Diamond")</f>
        <v>Gold</v>
      </c>
      <c r="G932" s="11">
        <f>SUMIF(Data_Donasi[Nama_Donatur],Data_Donasi[[#This Row],[Nama_Donatur]],Data_Donasi[Nominal])</f>
        <v>18900000</v>
      </c>
    </row>
    <row r="933" spans="1:7" x14ac:dyDescent="0.3">
      <c r="A933" s="14" t="s">
        <v>31</v>
      </c>
      <c r="B933" s="4" t="s">
        <v>131</v>
      </c>
      <c r="C933" s="4" t="s">
        <v>231</v>
      </c>
      <c r="D933" s="9">
        <v>45915</v>
      </c>
      <c r="E933" s="12">
        <v>3000000</v>
      </c>
      <c r="F933" t="str" cm="1">
        <f t="array" ref="F933">_xlfn.IFS(G933&lt;5000000, "Bronze", G933&lt;10000000, "Silver", G933&lt;20000000, "Gold", G933&gt;=20000000, "Diamond")</f>
        <v>Diamond</v>
      </c>
      <c r="G933" s="11">
        <f>SUMIF(Data_Donasi[Nama_Donatur],Data_Donasi[[#This Row],[Nama_Donatur]],Data_Donasi[Nominal])</f>
        <v>73400000</v>
      </c>
    </row>
    <row r="934" spans="1:7" x14ac:dyDescent="0.3">
      <c r="A934" s="14" t="s">
        <v>46</v>
      </c>
      <c r="B934" s="4" t="s">
        <v>146</v>
      </c>
      <c r="C934" s="4" t="s">
        <v>246</v>
      </c>
      <c r="D934" s="9">
        <v>45915</v>
      </c>
      <c r="E934" s="12">
        <v>2000000</v>
      </c>
      <c r="F934" t="str" cm="1">
        <f t="array" ref="F934">_xlfn.IFS(G934&lt;5000000, "Bronze", G934&lt;10000000, "Silver", G934&lt;20000000, "Gold", G934&gt;=20000000, "Diamond")</f>
        <v>Diamond</v>
      </c>
      <c r="G934" s="11">
        <f>SUMIF(Data_Donasi[Nama_Donatur],Data_Donasi[[#This Row],[Nama_Donatur]],Data_Donasi[Nominal])</f>
        <v>48550000</v>
      </c>
    </row>
    <row r="935" spans="1:7" x14ac:dyDescent="0.3">
      <c r="A935" s="14" t="s">
        <v>63</v>
      </c>
      <c r="B935" s="4" t="s">
        <v>163</v>
      </c>
      <c r="C935" s="4" t="s">
        <v>263</v>
      </c>
      <c r="D935" s="9">
        <v>45916</v>
      </c>
      <c r="E935" s="12">
        <v>1000000</v>
      </c>
      <c r="F935" t="str" cm="1">
        <f t="array" ref="F935">_xlfn.IFS(G935&lt;5000000, "Bronze", G935&lt;10000000, "Silver", G935&lt;20000000, "Gold", G935&gt;=20000000, "Diamond")</f>
        <v>Gold</v>
      </c>
      <c r="G935" s="11">
        <f>SUMIF(Data_Donasi[Nama_Donatur],Data_Donasi[[#This Row],[Nama_Donatur]],Data_Donasi[Nominal])</f>
        <v>15700000</v>
      </c>
    </row>
    <row r="936" spans="1:7" x14ac:dyDescent="0.3">
      <c r="A936" s="14" t="s">
        <v>99</v>
      </c>
      <c r="B936" s="4" t="s">
        <v>199</v>
      </c>
      <c r="C936" s="4" t="s">
        <v>299</v>
      </c>
      <c r="D936" s="9">
        <v>45916</v>
      </c>
      <c r="E936" s="12">
        <v>5000000</v>
      </c>
      <c r="F936" t="str" cm="1">
        <f t="array" ref="F936">_xlfn.IFS(G936&lt;5000000, "Bronze", G936&lt;10000000, "Silver", G936&lt;20000000, "Gold", G936&gt;=20000000, "Diamond")</f>
        <v>Diamond</v>
      </c>
      <c r="G936" s="11">
        <f>SUMIF(Data_Donasi[Nama_Donatur],Data_Donasi[[#This Row],[Nama_Donatur]],Data_Donasi[Nominal])</f>
        <v>26300000</v>
      </c>
    </row>
    <row r="937" spans="1:7" x14ac:dyDescent="0.3">
      <c r="A937" s="14" t="s">
        <v>14</v>
      </c>
      <c r="B937" s="4" t="s">
        <v>114</v>
      </c>
      <c r="C937" s="4" t="s">
        <v>214</v>
      </c>
      <c r="D937" s="9">
        <v>45916</v>
      </c>
      <c r="E937" s="12">
        <v>20000000</v>
      </c>
      <c r="F937" t="str" cm="1">
        <f t="array" ref="F937">_xlfn.IFS(G937&lt;5000000, "Bronze", G937&lt;10000000, "Silver", G937&lt;20000000, "Gold", G937&gt;=20000000, "Diamond")</f>
        <v>Diamond</v>
      </c>
      <c r="G937" s="11">
        <f>SUMIF(Data_Donasi[Nama_Donatur],Data_Donasi[[#This Row],[Nama_Donatur]],Data_Donasi[Nominal])</f>
        <v>73750000</v>
      </c>
    </row>
    <row r="938" spans="1:7" x14ac:dyDescent="0.3">
      <c r="A938" s="14" t="s">
        <v>78</v>
      </c>
      <c r="B938" s="4" t="s">
        <v>178</v>
      </c>
      <c r="C938" s="4" t="s">
        <v>278</v>
      </c>
      <c r="D938" s="9">
        <v>45916</v>
      </c>
      <c r="E938" s="12">
        <v>20000000</v>
      </c>
      <c r="F938" t="str" cm="1">
        <f t="array" ref="F938">_xlfn.IFS(G938&lt;5000000, "Bronze", G938&lt;10000000, "Silver", G938&lt;20000000, "Gold", G938&gt;=20000000, "Diamond")</f>
        <v>Diamond</v>
      </c>
      <c r="G938" s="11">
        <f>SUMIF(Data_Donasi[Nama_Donatur],Data_Donasi[[#This Row],[Nama_Donatur]],Data_Donasi[Nominal])</f>
        <v>115650000</v>
      </c>
    </row>
    <row r="939" spans="1:7" x14ac:dyDescent="0.3">
      <c r="A939" s="14" t="s">
        <v>21</v>
      </c>
      <c r="B939" s="4" t="s">
        <v>121</v>
      </c>
      <c r="C939" s="4" t="s">
        <v>221</v>
      </c>
      <c r="D939" s="9">
        <v>45916</v>
      </c>
      <c r="E939" s="12">
        <v>1000000</v>
      </c>
      <c r="F939" t="str" cm="1">
        <f t="array" ref="F939">_xlfn.IFS(G939&lt;5000000, "Bronze", G939&lt;10000000, "Silver", G939&lt;20000000, "Gold", G939&gt;=20000000, "Diamond")</f>
        <v>Diamond</v>
      </c>
      <c r="G939" s="11">
        <f>SUMIF(Data_Donasi[Nama_Donatur],Data_Donasi[[#This Row],[Nama_Donatur]],Data_Donasi[Nominal])</f>
        <v>61950000</v>
      </c>
    </row>
    <row r="940" spans="1:7" x14ac:dyDescent="0.3">
      <c r="A940" s="14" t="s">
        <v>45</v>
      </c>
      <c r="B940" s="4" t="s">
        <v>145</v>
      </c>
      <c r="C940" s="4" t="s">
        <v>245</v>
      </c>
      <c r="D940" s="9">
        <v>45917</v>
      </c>
      <c r="E940" s="12">
        <v>3000000</v>
      </c>
      <c r="F940" t="str" cm="1">
        <f t="array" ref="F940">_xlfn.IFS(G940&lt;5000000, "Bronze", G940&lt;10000000, "Silver", G940&lt;20000000, "Gold", G940&gt;=20000000, "Diamond")</f>
        <v>Diamond</v>
      </c>
      <c r="G940" s="11">
        <f>SUMIF(Data_Donasi[Nama_Donatur],Data_Donasi[[#This Row],[Nama_Donatur]],Data_Donasi[Nominal])</f>
        <v>42850000</v>
      </c>
    </row>
    <row r="941" spans="1:7" x14ac:dyDescent="0.3">
      <c r="A941" s="14" t="s">
        <v>88</v>
      </c>
      <c r="B941" s="4" t="s">
        <v>188</v>
      </c>
      <c r="C941" s="4" t="s">
        <v>288</v>
      </c>
      <c r="D941" s="9">
        <v>45917</v>
      </c>
      <c r="E941" s="12">
        <v>50000</v>
      </c>
      <c r="F941" t="str" cm="1">
        <f t="array" ref="F941">_xlfn.IFS(G941&lt;5000000, "Bronze", G941&lt;10000000, "Silver", G941&lt;20000000, "Gold", G941&gt;=20000000, "Diamond")</f>
        <v>Diamond</v>
      </c>
      <c r="G941" s="11">
        <f>SUMIF(Data_Donasi[Nama_Donatur],Data_Donasi[[#This Row],[Nama_Donatur]],Data_Donasi[Nominal])</f>
        <v>51750000</v>
      </c>
    </row>
    <row r="942" spans="1:7" x14ac:dyDescent="0.3">
      <c r="A942" s="14" t="s">
        <v>12</v>
      </c>
      <c r="B942" s="4" t="s">
        <v>112</v>
      </c>
      <c r="C942" s="4" t="s">
        <v>212</v>
      </c>
      <c r="D942" s="9">
        <v>45918</v>
      </c>
      <c r="E942" s="12">
        <v>1000000</v>
      </c>
      <c r="F942" t="str" cm="1">
        <f t="array" ref="F942">_xlfn.IFS(G942&lt;5000000, "Bronze", G942&lt;10000000, "Silver", G942&lt;20000000, "Gold", G942&gt;=20000000, "Diamond")</f>
        <v>Silver</v>
      </c>
      <c r="G942" s="11">
        <f>SUMIF(Data_Donasi[Nama_Donatur],Data_Donasi[[#This Row],[Nama_Donatur]],Data_Donasi[Nominal])</f>
        <v>8900000</v>
      </c>
    </row>
    <row r="943" spans="1:7" x14ac:dyDescent="0.3">
      <c r="A943" s="14" t="s">
        <v>42</v>
      </c>
      <c r="B943" s="4" t="s">
        <v>142</v>
      </c>
      <c r="C943" s="4" t="s">
        <v>242</v>
      </c>
      <c r="D943" s="9">
        <v>45918</v>
      </c>
      <c r="E943" s="12">
        <v>100000</v>
      </c>
      <c r="F943" t="str" cm="1">
        <f t="array" ref="F943">_xlfn.IFS(G943&lt;5000000, "Bronze", G943&lt;10000000, "Silver", G943&lt;20000000, "Gold", G943&gt;=20000000, "Diamond")</f>
        <v>Diamond</v>
      </c>
      <c r="G943" s="11">
        <f>SUMIF(Data_Donasi[Nama_Donatur],Data_Donasi[[#This Row],[Nama_Donatur]],Data_Donasi[Nominal])</f>
        <v>42100000</v>
      </c>
    </row>
    <row r="944" spans="1:7" x14ac:dyDescent="0.3">
      <c r="A944" s="14" t="s">
        <v>9</v>
      </c>
      <c r="B944" s="4" t="s">
        <v>109</v>
      </c>
      <c r="C944" s="4" t="s">
        <v>209</v>
      </c>
      <c r="D944" s="9">
        <v>45919</v>
      </c>
      <c r="E944" s="12">
        <v>100000</v>
      </c>
      <c r="F944" t="str" cm="1">
        <f t="array" ref="F944">_xlfn.IFS(G944&lt;5000000, "Bronze", G944&lt;10000000, "Silver", G944&lt;20000000, "Gold", G944&gt;=20000000, "Diamond")</f>
        <v>Diamond</v>
      </c>
      <c r="G944" s="11">
        <f>SUMIF(Data_Donasi[Nama_Donatur],Data_Donasi[[#This Row],[Nama_Donatur]],Data_Donasi[Nominal])</f>
        <v>24900000</v>
      </c>
    </row>
    <row r="945" spans="1:7" x14ac:dyDescent="0.3">
      <c r="A945" s="14" t="s">
        <v>49</v>
      </c>
      <c r="B945" s="4" t="s">
        <v>149</v>
      </c>
      <c r="C945" s="4" t="s">
        <v>249</v>
      </c>
      <c r="D945" s="9">
        <v>45920</v>
      </c>
      <c r="E945" s="12">
        <v>250000</v>
      </c>
      <c r="F945" t="str" cm="1">
        <f t="array" ref="F945">_xlfn.IFS(G945&lt;5000000, "Bronze", G945&lt;10000000, "Silver", G945&lt;20000000, "Gold", G945&gt;=20000000, "Diamond")</f>
        <v>Bronze</v>
      </c>
      <c r="G945" s="11">
        <f>SUMIF(Data_Donasi[Nama_Donatur],Data_Donasi[[#This Row],[Nama_Donatur]],Data_Donasi[Nominal])</f>
        <v>3050000</v>
      </c>
    </row>
    <row r="946" spans="1:7" x14ac:dyDescent="0.3">
      <c r="A946" s="14" t="s">
        <v>63</v>
      </c>
      <c r="B946" s="4" t="s">
        <v>163</v>
      </c>
      <c r="C946" s="4" t="s">
        <v>263</v>
      </c>
      <c r="D946" s="9">
        <v>45920</v>
      </c>
      <c r="E946" s="12">
        <v>250000</v>
      </c>
      <c r="F946" t="str" cm="1">
        <f t="array" ref="F946">_xlfn.IFS(G946&lt;5000000, "Bronze", G946&lt;10000000, "Silver", G946&lt;20000000, "Gold", G946&gt;=20000000, "Diamond")</f>
        <v>Gold</v>
      </c>
      <c r="G946" s="11">
        <f>SUMIF(Data_Donasi[Nama_Donatur],Data_Donasi[[#This Row],[Nama_Donatur]],Data_Donasi[Nominal])</f>
        <v>15700000</v>
      </c>
    </row>
    <row r="947" spans="1:7" x14ac:dyDescent="0.3">
      <c r="A947" s="14" t="s">
        <v>43</v>
      </c>
      <c r="B947" s="4" t="s">
        <v>143</v>
      </c>
      <c r="C947" s="4" t="s">
        <v>243</v>
      </c>
      <c r="D947" s="9">
        <v>45920</v>
      </c>
      <c r="E947" s="12">
        <v>2000000</v>
      </c>
      <c r="F947" t="str" cm="1">
        <f t="array" ref="F947">_xlfn.IFS(G947&lt;5000000, "Bronze", G947&lt;10000000, "Silver", G947&lt;20000000, "Gold", G947&gt;=20000000, "Diamond")</f>
        <v>Diamond</v>
      </c>
      <c r="G947" s="11">
        <f>SUMIF(Data_Donasi[Nama_Donatur],Data_Donasi[[#This Row],[Nama_Donatur]],Data_Donasi[Nominal])</f>
        <v>32400000</v>
      </c>
    </row>
    <row r="948" spans="1:7" x14ac:dyDescent="0.3">
      <c r="A948" s="14" t="s">
        <v>69</v>
      </c>
      <c r="B948" s="4" t="s">
        <v>169</v>
      </c>
      <c r="C948" s="4" t="s">
        <v>269</v>
      </c>
      <c r="D948" s="9">
        <v>45920</v>
      </c>
      <c r="E948" s="12">
        <v>3000000</v>
      </c>
      <c r="F948" t="str" cm="1">
        <f t="array" ref="F948">_xlfn.IFS(G948&lt;5000000, "Bronze", G948&lt;10000000, "Silver", G948&lt;20000000, "Gold", G948&gt;=20000000, "Diamond")</f>
        <v>Diamond</v>
      </c>
      <c r="G948" s="11">
        <f>SUMIF(Data_Donasi[Nama_Donatur],Data_Donasi[[#This Row],[Nama_Donatur]],Data_Donasi[Nominal])</f>
        <v>53350000</v>
      </c>
    </row>
    <row r="949" spans="1:7" x14ac:dyDescent="0.3">
      <c r="A949" s="14" t="s">
        <v>41</v>
      </c>
      <c r="B949" s="4" t="s">
        <v>141</v>
      </c>
      <c r="C949" s="4" t="s">
        <v>241</v>
      </c>
      <c r="D949" s="9">
        <v>45921</v>
      </c>
      <c r="E949" s="12">
        <v>50000</v>
      </c>
      <c r="F949" t="str" cm="1">
        <f t="array" ref="F949">_xlfn.IFS(G949&lt;5000000, "Bronze", G949&lt;10000000, "Silver", G949&lt;20000000, "Gold", G949&gt;=20000000, "Diamond")</f>
        <v>Gold</v>
      </c>
      <c r="G949" s="11">
        <f>SUMIF(Data_Donasi[Nama_Donatur],Data_Donasi[[#This Row],[Nama_Donatur]],Data_Donasi[Nominal])</f>
        <v>10400000</v>
      </c>
    </row>
    <row r="950" spans="1:7" x14ac:dyDescent="0.3">
      <c r="A950" s="14" t="s">
        <v>64</v>
      </c>
      <c r="B950" s="4" t="s">
        <v>164</v>
      </c>
      <c r="C950" s="4" t="s">
        <v>264</v>
      </c>
      <c r="D950" s="9">
        <v>45921</v>
      </c>
      <c r="E950" s="12">
        <v>2000000</v>
      </c>
      <c r="F950" t="str" cm="1">
        <f t="array" ref="F950">_xlfn.IFS(G950&lt;5000000, "Bronze", G950&lt;10000000, "Silver", G950&lt;20000000, "Gold", G950&gt;=20000000, "Diamond")</f>
        <v>Diamond</v>
      </c>
      <c r="G950" s="11">
        <f>SUMIF(Data_Donasi[Nama_Donatur],Data_Donasi[[#This Row],[Nama_Donatur]],Data_Donasi[Nominal])</f>
        <v>27750000</v>
      </c>
    </row>
    <row r="951" spans="1:7" x14ac:dyDescent="0.3">
      <c r="A951" s="14" t="s">
        <v>66</v>
      </c>
      <c r="B951" s="4" t="s">
        <v>166</v>
      </c>
      <c r="C951" s="4" t="s">
        <v>266</v>
      </c>
      <c r="D951" s="9">
        <v>45921</v>
      </c>
      <c r="E951" s="12">
        <v>150000</v>
      </c>
      <c r="F951" t="str" cm="1">
        <f t="array" ref="F951">_xlfn.IFS(G951&lt;5000000, "Bronze", G951&lt;10000000, "Silver", G951&lt;20000000, "Gold", G951&gt;=20000000, "Diamond")</f>
        <v>Diamond</v>
      </c>
      <c r="G951" s="11">
        <f>SUMIF(Data_Donasi[Nama_Donatur],Data_Donasi[[#This Row],[Nama_Donatur]],Data_Donasi[Nominal])</f>
        <v>26350000</v>
      </c>
    </row>
    <row r="952" spans="1:7" x14ac:dyDescent="0.3">
      <c r="A952" s="14" t="s">
        <v>58</v>
      </c>
      <c r="B952" s="4" t="s">
        <v>158</v>
      </c>
      <c r="C952" s="4" t="s">
        <v>258</v>
      </c>
      <c r="D952" s="9">
        <v>45921</v>
      </c>
      <c r="E952" s="12">
        <v>150000</v>
      </c>
      <c r="F952" t="str" cm="1">
        <f t="array" ref="F952">_xlfn.IFS(G952&lt;5000000, "Bronze", G952&lt;10000000, "Silver", G952&lt;20000000, "Gold", G952&gt;=20000000, "Diamond")</f>
        <v>Gold</v>
      </c>
      <c r="G952" s="11">
        <f>SUMIF(Data_Donasi[Nama_Donatur],Data_Donasi[[#This Row],[Nama_Donatur]],Data_Donasi[Nominal])</f>
        <v>12000000</v>
      </c>
    </row>
    <row r="953" spans="1:7" x14ac:dyDescent="0.3">
      <c r="A953" s="14" t="s">
        <v>56</v>
      </c>
      <c r="B953" s="4" t="s">
        <v>156</v>
      </c>
      <c r="C953" s="4" t="s">
        <v>256</v>
      </c>
      <c r="D953" s="9">
        <v>45921</v>
      </c>
      <c r="E953" s="12">
        <v>1000000</v>
      </c>
      <c r="F953" t="str" cm="1">
        <f t="array" ref="F953">_xlfn.IFS(G953&lt;5000000, "Bronze", G953&lt;10000000, "Silver", G953&lt;20000000, "Gold", G953&gt;=20000000, "Diamond")</f>
        <v>Diamond</v>
      </c>
      <c r="G953" s="11">
        <f>SUMIF(Data_Donasi[Nama_Donatur],Data_Donasi[[#This Row],[Nama_Donatur]],Data_Donasi[Nominal])</f>
        <v>49000000</v>
      </c>
    </row>
    <row r="954" spans="1:7" x14ac:dyDescent="0.3">
      <c r="A954" s="14" t="s">
        <v>104</v>
      </c>
      <c r="B954" s="4" t="s">
        <v>204</v>
      </c>
      <c r="C954" s="4" t="s">
        <v>304</v>
      </c>
      <c r="D954" s="9">
        <v>45921</v>
      </c>
      <c r="E954" s="12">
        <v>50000</v>
      </c>
      <c r="F954" t="str" cm="1">
        <f t="array" ref="F954">_xlfn.IFS(G954&lt;5000000, "Bronze", G954&lt;10000000, "Silver", G954&lt;20000000, "Gold", G954&gt;=20000000, "Diamond")</f>
        <v>Diamond</v>
      </c>
      <c r="G954" s="11">
        <f>SUMIF(Data_Donasi[Nama_Donatur],Data_Donasi[[#This Row],[Nama_Donatur]],Data_Donasi[Nominal])</f>
        <v>22000000</v>
      </c>
    </row>
    <row r="955" spans="1:7" x14ac:dyDescent="0.3">
      <c r="A955" s="14" t="s">
        <v>70</v>
      </c>
      <c r="B955" s="4" t="s">
        <v>170</v>
      </c>
      <c r="C955" s="4" t="s">
        <v>270</v>
      </c>
      <c r="D955" s="9">
        <v>45921</v>
      </c>
      <c r="E955" s="12">
        <v>50000</v>
      </c>
      <c r="F955" t="str" cm="1">
        <f t="array" ref="F955">_xlfn.IFS(G955&lt;5000000, "Bronze", G955&lt;10000000, "Silver", G955&lt;20000000, "Gold", G955&gt;=20000000, "Diamond")</f>
        <v>Diamond</v>
      </c>
      <c r="G955" s="11">
        <f>SUMIF(Data_Donasi[Nama_Donatur],Data_Donasi[[#This Row],[Nama_Donatur]],Data_Donasi[Nominal])</f>
        <v>21600000</v>
      </c>
    </row>
    <row r="956" spans="1:7" x14ac:dyDescent="0.3">
      <c r="A956" s="14" t="s">
        <v>39</v>
      </c>
      <c r="B956" s="4" t="s">
        <v>139</v>
      </c>
      <c r="C956" s="4" t="s">
        <v>239</v>
      </c>
      <c r="D956" s="9">
        <v>45921</v>
      </c>
      <c r="E956" s="12">
        <v>250000</v>
      </c>
      <c r="F956" t="str" cm="1">
        <f t="array" ref="F956">_xlfn.IFS(G956&lt;5000000, "Bronze", G956&lt;10000000, "Silver", G956&lt;20000000, "Gold", G956&gt;=20000000, "Diamond")</f>
        <v>Diamond</v>
      </c>
      <c r="G956" s="11">
        <f>SUMIF(Data_Donasi[Nama_Donatur],Data_Donasi[[#This Row],[Nama_Donatur]],Data_Donasi[Nominal])</f>
        <v>50750000</v>
      </c>
    </row>
    <row r="957" spans="1:7" x14ac:dyDescent="0.3">
      <c r="A957" s="14" t="s">
        <v>41</v>
      </c>
      <c r="B957" s="4" t="s">
        <v>141</v>
      </c>
      <c r="C957" s="4" t="s">
        <v>241</v>
      </c>
      <c r="D957" s="9">
        <v>45922</v>
      </c>
      <c r="E957" s="12">
        <v>250000</v>
      </c>
      <c r="F957" t="str" cm="1">
        <f t="array" ref="F957">_xlfn.IFS(G957&lt;5000000, "Bronze", G957&lt;10000000, "Silver", G957&lt;20000000, "Gold", G957&gt;=20000000, "Diamond")</f>
        <v>Gold</v>
      </c>
      <c r="G957" s="11">
        <f>SUMIF(Data_Donasi[Nama_Donatur],Data_Donasi[[#This Row],[Nama_Donatur]],Data_Donasi[Nominal])</f>
        <v>10400000</v>
      </c>
    </row>
    <row r="958" spans="1:7" x14ac:dyDescent="0.3">
      <c r="A958" s="14" t="s">
        <v>65</v>
      </c>
      <c r="B958" s="4" t="s">
        <v>165</v>
      </c>
      <c r="C958" s="4" t="s">
        <v>265</v>
      </c>
      <c r="D958" s="9">
        <v>45922</v>
      </c>
      <c r="E958" s="12">
        <v>3000000</v>
      </c>
      <c r="F958" t="str" cm="1">
        <f t="array" ref="F958">_xlfn.IFS(G958&lt;5000000, "Bronze", G958&lt;10000000, "Silver", G958&lt;20000000, "Gold", G958&gt;=20000000, "Diamond")</f>
        <v>Diamond</v>
      </c>
      <c r="G958" s="11">
        <f>SUMIF(Data_Donasi[Nama_Donatur],Data_Donasi[[#This Row],[Nama_Donatur]],Data_Donasi[Nominal])</f>
        <v>40750000</v>
      </c>
    </row>
    <row r="959" spans="1:7" x14ac:dyDescent="0.3">
      <c r="A959" s="14" t="s">
        <v>8</v>
      </c>
      <c r="B959" s="4" t="s">
        <v>108</v>
      </c>
      <c r="C959" s="4" t="s">
        <v>208</v>
      </c>
      <c r="D959" s="9">
        <v>45922</v>
      </c>
      <c r="E959" s="12">
        <v>250000</v>
      </c>
      <c r="F959" t="str" cm="1">
        <f t="array" ref="F959">_xlfn.IFS(G959&lt;5000000, "Bronze", G959&lt;10000000, "Silver", G959&lt;20000000, "Gold", G959&gt;=20000000, "Diamond")</f>
        <v>Diamond</v>
      </c>
      <c r="G959" s="11">
        <f>SUMIF(Data_Donasi[Nama_Donatur],Data_Donasi[[#This Row],[Nama_Donatur]],Data_Donasi[Nominal])</f>
        <v>31750000</v>
      </c>
    </row>
    <row r="960" spans="1:7" x14ac:dyDescent="0.3">
      <c r="A960" s="14" t="s">
        <v>23</v>
      </c>
      <c r="B960" s="4" t="s">
        <v>123</v>
      </c>
      <c r="C960" s="4" t="s">
        <v>223</v>
      </c>
      <c r="D960" s="9">
        <v>45922</v>
      </c>
      <c r="E960" s="12">
        <v>5000000</v>
      </c>
      <c r="F960" t="str" cm="1">
        <f t="array" ref="F960">_xlfn.IFS(G960&lt;5000000, "Bronze", G960&lt;10000000, "Silver", G960&lt;20000000, "Gold", G960&gt;=20000000, "Diamond")</f>
        <v>Diamond</v>
      </c>
      <c r="G960" s="11">
        <f>SUMIF(Data_Donasi[Nama_Donatur],Data_Donasi[[#This Row],[Nama_Donatur]],Data_Donasi[Nominal])</f>
        <v>55250000</v>
      </c>
    </row>
    <row r="961" spans="1:7" x14ac:dyDescent="0.3">
      <c r="A961" s="14" t="s">
        <v>45</v>
      </c>
      <c r="B961" s="4" t="s">
        <v>145</v>
      </c>
      <c r="C961" s="4" t="s">
        <v>245</v>
      </c>
      <c r="D961" s="9">
        <v>45923</v>
      </c>
      <c r="E961" s="12">
        <v>20000000</v>
      </c>
      <c r="F961" t="str" cm="1">
        <f t="array" ref="F961">_xlfn.IFS(G961&lt;5000000, "Bronze", G961&lt;10000000, "Silver", G961&lt;20000000, "Gold", G961&gt;=20000000, "Diamond")</f>
        <v>Diamond</v>
      </c>
      <c r="G961" s="11">
        <f>SUMIF(Data_Donasi[Nama_Donatur],Data_Donasi[[#This Row],[Nama_Donatur]],Data_Donasi[Nominal])</f>
        <v>42850000</v>
      </c>
    </row>
    <row r="962" spans="1:7" x14ac:dyDescent="0.3">
      <c r="A962" s="14" t="s">
        <v>89</v>
      </c>
      <c r="B962" s="4" t="s">
        <v>189</v>
      </c>
      <c r="C962" s="4" t="s">
        <v>289</v>
      </c>
      <c r="D962" s="9">
        <v>45923</v>
      </c>
      <c r="E962" s="12">
        <v>100000</v>
      </c>
      <c r="F962" t="str" cm="1">
        <f t="array" ref="F962">_xlfn.IFS(G962&lt;5000000, "Bronze", G962&lt;10000000, "Silver", G962&lt;20000000, "Gold", G962&gt;=20000000, "Diamond")</f>
        <v>Diamond</v>
      </c>
      <c r="G962" s="11">
        <f>SUMIF(Data_Donasi[Nama_Donatur],Data_Donasi[[#This Row],[Nama_Donatur]],Data_Donasi[Nominal])</f>
        <v>28500000</v>
      </c>
    </row>
    <row r="963" spans="1:7" x14ac:dyDescent="0.3">
      <c r="A963" s="14" t="s">
        <v>81</v>
      </c>
      <c r="B963" s="4" t="s">
        <v>181</v>
      </c>
      <c r="C963" s="4" t="s">
        <v>281</v>
      </c>
      <c r="D963" s="9">
        <v>45923</v>
      </c>
      <c r="E963" s="12">
        <v>500000</v>
      </c>
      <c r="F963" t="str" cm="1">
        <f t="array" ref="F963">_xlfn.IFS(G963&lt;5000000, "Bronze", G963&lt;10000000, "Silver", G963&lt;20000000, "Gold", G963&gt;=20000000, "Diamond")</f>
        <v>Diamond</v>
      </c>
      <c r="G963" s="11">
        <f>SUMIF(Data_Donasi[Nama_Donatur],Data_Donasi[[#This Row],[Nama_Donatur]],Data_Donasi[Nominal])</f>
        <v>86000000</v>
      </c>
    </row>
    <row r="964" spans="1:7" x14ac:dyDescent="0.3">
      <c r="A964" s="14" t="s">
        <v>94</v>
      </c>
      <c r="B964" s="4" t="s">
        <v>194</v>
      </c>
      <c r="C964" s="4" t="s">
        <v>294</v>
      </c>
      <c r="D964" s="9">
        <v>45923</v>
      </c>
      <c r="E964" s="12">
        <v>150000</v>
      </c>
      <c r="F964" t="str" cm="1">
        <f t="array" ref="F964">_xlfn.IFS(G964&lt;5000000, "Bronze", G964&lt;10000000, "Silver", G964&lt;20000000, "Gold", G964&gt;=20000000, "Diamond")</f>
        <v>Diamond</v>
      </c>
      <c r="G964" s="11">
        <f>SUMIF(Data_Donasi[Nama_Donatur],Data_Donasi[[#This Row],[Nama_Donatur]],Data_Donasi[Nominal])</f>
        <v>26650000</v>
      </c>
    </row>
    <row r="965" spans="1:7" x14ac:dyDescent="0.3">
      <c r="A965" s="14" t="s">
        <v>24</v>
      </c>
      <c r="B965" s="4" t="s">
        <v>124</v>
      </c>
      <c r="C965" s="4" t="s">
        <v>224</v>
      </c>
      <c r="D965" s="9">
        <v>45924</v>
      </c>
      <c r="E965" s="12">
        <v>20000000</v>
      </c>
      <c r="F965" t="str" cm="1">
        <f t="array" ref="F965">_xlfn.IFS(G965&lt;5000000, "Bronze", G965&lt;10000000, "Silver", G965&lt;20000000, "Gold", G965&gt;=20000000, "Diamond")</f>
        <v>Diamond</v>
      </c>
      <c r="G965" s="11">
        <f>SUMIF(Data_Donasi[Nama_Donatur],Data_Donasi[[#This Row],[Nama_Donatur]],Data_Donasi[Nominal])</f>
        <v>37700000</v>
      </c>
    </row>
    <row r="966" spans="1:7" x14ac:dyDescent="0.3">
      <c r="A966" s="14" t="s">
        <v>20</v>
      </c>
      <c r="B966" s="4" t="s">
        <v>120</v>
      </c>
      <c r="C966" s="4" t="s">
        <v>220</v>
      </c>
      <c r="D966" s="9">
        <v>45925</v>
      </c>
      <c r="E966" s="12">
        <v>100000</v>
      </c>
      <c r="F966" t="str" cm="1">
        <f t="array" ref="F966">_xlfn.IFS(G966&lt;5000000, "Bronze", G966&lt;10000000, "Silver", G966&lt;20000000, "Gold", G966&gt;=20000000, "Diamond")</f>
        <v>Diamond</v>
      </c>
      <c r="G966" s="11">
        <f>SUMIF(Data_Donasi[Nama_Donatur],Data_Donasi[[#This Row],[Nama_Donatur]],Data_Donasi[Nominal])</f>
        <v>25800000</v>
      </c>
    </row>
    <row r="967" spans="1:7" x14ac:dyDescent="0.3">
      <c r="A967" s="14" t="s">
        <v>25</v>
      </c>
      <c r="B967" s="4" t="s">
        <v>125</v>
      </c>
      <c r="C967" s="4" t="s">
        <v>225</v>
      </c>
      <c r="D967" s="9">
        <v>45926</v>
      </c>
      <c r="E967" s="12">
        <v>1000000</v>
      </c>
      <c r="F967" t="str" cm="1">
        <f t="array" ref="F967">_xlfn.IFS(G967&lt;5000000, "Bronze", G967&lt;10000000, "Silver", G967&lt;20000000, "Gold", G967&gt;=20000000, "Diamond")</f>
        <v>Diamond</v>
      </c>
      <c r="G967" s="11">
        <f>SUMIF(Data_Donasi[Nama_Donatur],Data_Donasi[[#This Row],[Nama_Donatur]],Data_Donasi[Nominal])</f>
        <v>41700000</v>
      </c>
    </row>
    <row r="968" spans="1:7" x14ac:dyDescent="0.3">
      <c r="A968" s="14" t="s">
        <v>69</v>
      </c>
      <c r="B968" s="4" t="s">
        <v>169</v>
      </c>
      <c r="C968" s="4" t="s">
        <v>269</v>
      </c>
      <c r="D968" s="9">
        <v>45926</v>
      </c>
      <c r="E968" s="12">
        <v>7000000</v>
      </c>
      <c r="F968" t="str" cm="1">
        <f t="array" ref="F968">_xlfn.IFS(G968&lt;5000000, "Bronze", G968&lt;10000000, "Silver", G968&lt;20000000, "Gold", G968&gt;=20000000, "Diamond")</f>
        <v>Diamond</v>
      </c>
      <c r="G968" s="11">
        <f>SUMIF(Data_Donasi[Nama_Donatur],Data_Donasi[[#This Row],[Nama_Donatur]],Data_Donasi[Nominal])</f>
        <v>53350000</v>
      </c>
    </row>
    <row r="969" spans="1:7" x14ac:dyDescent="0.3">
      <c r="A969" s="14" t="s">
        <v>75</v>
      </c>
      <c r="B969" s="4" t="s">
        <v>175</v>
      </c>
      <c r="C969" s="4" t="s">
        <v>275</v>
      </c>
      <c r="D969" s="9">
        <v>45926</v>
      </c>
      <c r="E969" s="12">
        <v>2000000</v>
      </c>
      <c r="F969" t="str" cm="1">
        <f t="array" ref="F969">_xlfn.IFS(G969&lt;5000000, "Bronze", G969&lt;10000000, "Silver", G969&lt;20000000, "Gold", G969&gt;=20000000, "Diamond")</f>
        <v>Diamond</v>
      </c>
      <c r="G969" s="11">
        <f>SUMIF(Data_Donasi[Nama_Donatur],Data_Donasi[[#This Row],[Nama_Donatur]],Data_Donasi[Nominal])</f>
        <v>44400000</v>
      </c>
    </row>
    <row r="970" spans="1:7" x14ac:dyDescent="0.3">
      <c r="A970" s="14" t="s">
        <v>33</v>
      </c>
      <c r="B970" s="4" t="s">
        <v>133</v>
      </c>
      <c r="C970" s="4" t="s">
        <v>233</v>
      </c>
      <c r="D970" s="9">
        <v>45926</v>
      </c>
      <c r="E970" s="12">
        <v>500000</v>
      </c>
      <c r="F970" t="str" cm="1">
        <f t="array" ref="F970">_xlfn.IFS(G970&lt;5000000, "Bronze", G970&lt;10000000, "Silver", G970&lt;20000000, "Gold", G970&gt;=20000000, "Diamond")</f>
        <v>Diamond</v>
      </c>
      <c r="G970" s="11">
        <f>SUMIF(Data_Donasi[Nama_Donatur],Data_Donasi[[#This Row],[Nama_Donatur]],Data_Donasi[Nominal])</f>
        <v>56850000</v>
      </c>
    </row>
    <row r="971" spans="1:7" x14ac:dyDescent="0.3">
      <c r="A971" s="14" t="s">
        <v>73</v>
      </c>
      <c r="B971" s="4" t="s">
        <v>173</v>
      </c>
      <c r="C971" s="4" t="s">
        <v>273</v>
      </c>
      <c r="D971" s="9">
        <v>45926</v>
      </c>
      <c r="E971" s="12">
        <v>1000000</v>
      </c>
      <c r="F971" t="str" cm="1">
        <f t="array" ref="F971">_xlfn.IFS(G971&lt;5000000, "Bronze", G971&lt;10000000, "Silver", G971&lt;20000000, "Gold", G971&gt;=20000000, "Diamond")</f>
        <v>Diamond</v>
      </c>
      <c r="G971" s="11">
        <f>SUMIF(Data_Donasi[Nama_Donatur],Data_Donasi[[#This Row],[Nama_Donatur]],Data_Donasi[Nominal])</f>
        <v>28750000</v>
      </c>
    </row>
    <row r="972" spans="1:7" x14ac:dyDescent="0.3">
      <c r="A972" s="14" t="s">
        <v>46</v>
      </c>
      <c r="B972" s="4" t="s">
        <v>146</v>
      </c>
      <c r="C972" s="4" t="s">
        <v>246</v>
      </c>
      <c r="D972" s="9">
        <v>45926</v>
      </c>
      <c r="E972" s="12">
        <v>3000000</v>
      </c>
      <c r="F972" t="str" cm="1">
        <f t="array" ref="F972">_xlfn.IFS(G972&lt;5000000, "Bronze", G972&lt;10000000, "Silver", G972&lt;20000000, "Gold", G972&gt;=20000000, "Diamond")</f>
        <v>Diamond</v>
      </c>
      <c r="G972" s="11">
        <f>SUMIF(Data_Donasi[Nama_Donatur],Data_Donasi[[#This Row],[Nama_Donatur]],Data_Donasi[Nominal])</f>
        <v>48550000</v>
      </c>
    </row>
    <row r="973" spans="1:7" x14ac:dyDescent="0.3">
      <c r="A973" s="14" t="s">
        <v>26</v>
      </c>
      <c r="B973" s="4" t="s">
        <v>126</v>
      </c>
      <c r="C973" s="4" t="s">
        <v>226</v>
      </c>
      <c r="D973" s="9">
        <v>45926</v>
      </c>
      <c r="E973" s="12">
        <v>500000</v>
      </c>
      <c r="F973" t="str" cm="1">
        <f t="array" ref="F973">_xlfn.IFS(G973&lt;5000000, "Bronze", G973&lt;10000000, "Silver", G973&lt;20000000, "Gold", G973&gt;=20000000, "Diamond")</f>
        <v>Diamond</v>
      </c>
      <c r="G973" s="11">
        <f>SUMIF(Data_Donasi[Nama_Donatur],Data_Donasi[[#This Row],[Nama_Donatur]],Data_Donasi[Nominal])</f>
        <v>46450000</v>
      </c>
    </row>
    <row r="974" spans="1:7" x14ac:dyDescent="0.3">
      <c r="A974" s="14" t="s">
        <v>7</v>
      </c>
      <c r="B974" s="4" t="s">
        <v>107</v>
      </c>
      <c r="C974" s="4" t="s">
        <v>207</v>
      </c>
      <c r="D974" s="9">
        <v>45928</v>
      </c>
      <c r="E974" s="12">
        <v>10000000</v>
      </c>
      <c r="F974" t="str" cm="1">
        <f t="array" ref="F974">_xlfn.IFS(G974&lt;5000000, "Bronze", G974&lt;10000000, "Silver", G974&lt;20000000, "Gold", G974&gt;=20000000, "Diamond")</f>
        <v>Diamond</v>
      </c>
      <c r="G974" s="11">
        <f>SUMIF(Data_Donasi[Nama_Donatur],Data_Donasi[[#This Row],[Nama_Donatur]],Data_Donasi[Nominal])</f>
        <v>30150000</v>
      </c>
    </row>
    <row r="975" spans="1:7" x14ac:dyDescent="0.3">
      <c r="A975" s="14" t="s">
        <v>80</v>
      </c>
      <c r="B975" s="4" t="s">
        <v>180</v>
      </c>
      <c r="C975" s="4" t="s">
        <v>280</v>
      </c>
      <c r="D975" s="9">
        <v>45928</v>
      </c>
      <c r="E975" s="12">
        <v>5000000</v>
      </c>
      <c r="F975" t="str" cm="1">
        <f t="array" ref="F975">_xlfn.IFS(G975&lt;5000000, "Bronze", G975&lt;10000000, "Silver", G975&lt;20000000, "Gold", G975&gt;=20000000, "Diamond")</f>
        <v>Diamond</v>
      </c>
      <c r="G975" s="11">
        <f>SUMIF(Data_Donasi[Nama_Donatur],Data_Donasi[[#This Row],[Nama_Donatur]],Data_Donasi[Nominal])</f>
        <v>57850000</v>
      </c>
    </row>
    <row r="976" spans="1:7" x14ac:dyDescent="0.3">
      <c r="A976" s="14" t="s">
        <v>46</v>
      </c>
      <c r="B976" s="4" t="s">
        <v>146</v>
      </c>
      <c r="C976" s="4" t="s">
        <v>246</v>
      </c>
      <c r="D976" s="9">
        <v>45928</v>
      </c>
      <c r="E976" s="12">
        <v>150000</v>
      </c>
      <c r="F976" t="str" cm="1">
        <f t="array" ref="F976">_xlfn.IFS(G976&lt;5000000, "Bronze", G976&lt;10000000, "Silver", G976&lt;20000000, "Gold", G976&gt;=20000000, "Diamond")</f>
        <v>Diamond</v>
      </c>
      <c r="G976" s="11">
        <f>SUMIF(Data_Donasi[Nama_Donatur],Data_Donasi[[#This Row],[Nama_Donatur]],Data_Donasi[Nominal])</f>
        <v>48550000</v>
      </c>
    </row>
    <row r="977" spans="1:7" x14ac:dyDescent="0.3">
      <c r="A977" s="14" t="s">
        <v>84</v>
      </c>
      <c r="B977" s="4" t="s">
        <v>184</v>
      </c>
      <c r="C977" s="4" t="s">
        <v>284</v>
      </c>
      <c r="D977" s="9">
        <v>45928</v>
      </c>
      <c r="E977" s="12">
        <v>3000000</v>
      </c>
      <c r="F977" t="str" cm="1">
        <f t="array" ref="F977">_xlfn.IFS(G977&lt;5000000, "Bronze", G977&lt;10000000, "Silver", G977&lt;20000000, "Gold", G977&gt;=20000000, "Diamond")</f>
        <v>Diamond</v>
      </c>
      <c r="G977" s="11">
        <f>SUMIF(Data_Donasi[Nama_Donatur],Data_Donasi[[#This Row],[Nama_Donatur]],Data_Donasi[Nominal])</f>
        <v>33150000</v>
      </c>
    </row>
    <row r="978" spans="1:7" x14ac:dyDescent="0.3">
      <c r="A978" s="14" t="s">
        <v>27</v>
      </c>
      <c r="B978" s="4" t="s">
        <v>127</v>
      </c>
      <c r="C978" s="4" t="s">
        <v>227</v>
      </c>
      <c r="D978" s="9">
        <v>45928</v>
      </c>
      <c r="E978" s="12">
        <v>200000</v>
      </c>
      <c r="F978" t="str" cm="1">
        <f t="array" ref="F978">_xlfn.IFS(G978&lt;5000000, "Bronze", G978&lt;10000000, "Silver", G978&lt;20000000, "Gold", G978&gt;=20000000, "Diamond")</f>
        <v>Diamond</v>
      </c>
      <c r="G978" s="11">
        <f>SUMIF(Data_Donasi[Nama_Donatur],Data_Donasi[[#This Row],[Nama_Donatur]],Data_Donasi[Nominal])</f>
        <v>29050000</v>
      </c>
    </row>
    <row r="979" spans="1:7" x14ac:dyDescent="0.3">
      <c r="A979" s="14" t="s">
        <v>39</v>
      </c>
      <c r="B979" s="4" t="s">
        <v>139</v>
      </c>
      <c r="C979" s="4" t="s">
        <v>239</v>
      </c>
      <c r="D979" s="9">
        <v>45929</v>
      </c>
      <c r="E979" s="12">
        <v>5000000</v>
      </c>
      <c r="F979" t="str" cm="1">
        <f t="array" ref="F979">_xlfn.IFS(G979&lt;5000000, "Bronze", G979&lt;10000000, "Silver", G979&lt;20000000, "Gold", G979&gt;=20000000, "Diamond")</f>
        <v>Diamond</v>
      </c>
      <c r="G979" s="11">
        <f>SUMIF(Data_Donasi[Nama_Donatur],Data_Donasi[[#This Row],[Nama_Donatur]],Data_Donasi[Nominal])</f>
        <v>50750000</v>
      </c>
    </row>
    <row r="980" spans="1:7" x14ac:dyDescent="0.3">
      <c r="A980" s="14" t="s">
        <v>28</v>
      </c>
      <c r="B980" s="4" t="s">
        <v>128</v>
      </c>
      <c r="C980" s="4" t="s">
        <v>228</v>
      </c>
      <c r="D980" s="9">
        <v>45929</v>
      </c>
      <c r="E980" s="12">
        <v>5000000</v>
      </c>
      <c r="F980" t="str" cm="1">
        <f t="array" ref="F980">_xlfn.IFS(G980&lt;5000000, "Bronze", G980&lt;10000000, "Silver", G980&lt;20000000, "Gold", G980&gt;=20000000, "Diamond")</f>
        <v>Diamond</v>
      </c>
      <c r="G980" s="11">
        <f>SUMIF(Data_Donasi[Nama_Donatur],Data_Donasi[[#This Row],[Nama_Donatur]],Data_Donasi[Nominal])</f>
        <v>26900000</v>
      </c>
    </row>
    <row r="981" spans="1:7" x14ac:dyDescent="0.3">
      <c r="A981" s="14" t="s">
        <v>17</v>
      </c>
      <c r="B981" s="4" t="s">
        <v>117</v>
      </c>
      <c r="C981" s="4" t="s">
        <v>217</v>
      </c>
      <c r="D981" s="9">
        <v>45930</v>
      </c>
      <c r="E981" s="12">
        <v>10000000</v>
      </c>
      <c r="F981" t="str" cm="1">
        <f t="array" ref="F981">_xlfn.IFS(G981&lt;5000000, "Bronze", G981&lt;10000000, "Silver", G981&lt;20000000, "Gold", G981&gt;=20000000, "Diamond")</f>
        <v>Diamond</v>
      </c>
      <c r="G981" s="11">
        <f>SUMIF(Data_Donasi[Nama_Donatur],Data_Donasi[[#This Row],[Nama_Donatur]],Data_Donasi[Nominal])</f>
        <v>86000000</v>
      </c>
    </row>
    <row r="982" spans="1:7" x14ac:dyDescent="0.3">
      <c r="A982" s="14" t="s">
        <v>67</v>
      </c>
      <c r="B982" s="4" t="s">
        <v>167</v>
      </c>
      <c r="C982" s="4" t="s">
        <v>267</v>
      </c>
      <c r="D982" s="9">
        <v>45930</v>
      </c>
      <c r="E982" s="12">
        <v>100000</v>
      </c>
      <c r="F982" t="str" cm="1">
        <f t="array" ref="F982">_xlfn.IFS(G982&lt;5000000, "Bronze", G982&lt;10000000, "Silver", G982&lt;20000000, "Gold", G982&gt;=20000000, "Diamond")</f>
        <v>Diamond</v>
      </c>
      <c r="G982" s="11">
        <f>SUMIF(Data_Donasi[Nama_Donatur],Data_Donasi[[#This Row],[Nama_Donatur]],Data_Donasi[Nominal])</f>
        <v>28450000</v>
      </c>
    </row>
    <row r="983" spans="1:7" x14ac:dyDescent="0.3">
      <c r="A983" s="14" t="s">
        <v>42</v>
      </c>
      <c r="B983" s="4" t="s">
        <v>142</v>
      </c>
      <c r="C983" s="4" t="s">
        <v>242</v>
      </c>
      <c r="D983" s="9">
        <v>45930</v>
      </c>
      <c r="E983" s="12">
        <v>250000</v>
      </c>
      <c r="F983" t="str" cm="1">
        <f t="array" ref="F983">_xlfn.IFS(G983&lt;5000000, "Bronze", G983&lt;10000000, "Silver", G983&lt;20000000, "Gold", G983&gt;=20000000, "Diamond")</f>
        <v>Diamond</v>
      </c>
      <c r="G983" s="11">
        <f>SUMIF(Data_Donasi[Nama_Donatur],Data_Donasi[[#This Row],[Nama_Donatur]],Data_Donasi[Nominal])</f>
        <v>42100000</v>
      </c>
    </row>
    <row r="984" spans="1:7" x14ac:dyDescent="0.3">
      <c r="A984" s="14" t="s">
        <v>36</v>
      </c>
      <c r="B984" s="4" t="s">
        <v>136</v>
      </c>
      <c r="C984" s="4" t="s">
        <v>236</v>
      </c>
      <c r="D984" s="9">
        <v>45930</v>
      </c>
      <c r="E984" s="12">
        <v>10000000</v>
      </c>
      <c r="F984" t="str" cm="1">
        <f t="array" ref="F984">_xlfn.IFS(G984&lt;5000000, "Bronze", G984&lt;10000000, "Silver", G984&lt;20000000, "Gold", G984&gt;=20000000, "Diamond")</f>
        <v>Diamond</v>
      </c>
      <c r="G984" s="11">
        <f>SUMIF(Data_Donasi[Nama_Donatur],Data_Donasi[[#This Row],[Nama_Donatur]],Data_Donasi[Nominal])</f>
        <v>25500000</v>
      </c>
    </row>
    <row r="985" spans="1:7" x14ac:dyDescent="0.3">
      <c r="A985" s="14" t="s">
        <v>30</v>
      </c>
      <c r="B985" s="4" t="s">
        <v>130</v>
      </c>
      <c r="C985" s="4" t="s">
        <v>230</v>
      </c>
      <c r="D985" s="9">
        <v>45930</v>
      </c>
      <c r="E985" s="12">
        <v>20000000</v>
      </c>
      <c r="F985" t="str" cm="1">
        <f t="array" ref="F985">_xlfn.IFS(G985&lt;5000000, "Bronze", G985&lt;10000000, "Silver", G985&lt;20000000, "Gold", G985&gt;=20000000, "Diamond")</f>
        <v>Diamond</v>
      </c>
      <c r="G985" s="11">
        <f>SUMIF(Data_Donasi[Nama_Donatur],Data_Donasi[[#This Row],[Nama_Donatur]],Data_Donasi[Nominal])</f>
        <v>135600000</v>
      </c>
    </row>
    <row r="986" spans="1:7" x14ac:dyDescent="0.3">
      <c r="A986" s="14" t="s">
        <v>59</v>
      </c>
      <c r="B986" s="4" t="s">
        <v>159</v>
      </c>
      <c r="C986" s="4" t="s">
        <v>259</v>
      </c>
      <c r="D986" s="9">
        <v>45930</v>
      </c>
      <c r="E986" s="12">
        <v>50000</v>
      </c>
      <c r="F986" t="str" cm="1">
        <f t="array" ref="F986">_xlfn.IFS(G986&lt;5000000, "Bronze", G986&lt;10000000, "Silver", G986&lt;20000000, "Gold", G986&gt;=20000000, "Diamond")</f>
        <v>Diamond</v>
      </c>
      <c r="G986" s="11">
        <f>SUMIF(Data_Donasi[Nama_Donatur],Data_Donasi[[#This Row],[Nama_Donatur]],Data_Donasi[Nominal])</f>
        <v>22850000</v>
      </c>
    </row>
    <row r="987" spans="1:7" x14ac:dyDescent="0.3">
      <c r="A987" s="14" t="s">
        <v>104</v>
      </c>
      <c r="B987" s="4" t="s">
        <v>204</v>
      </c>
      <c r="C987" s="4" t="s">
        <v>304</v>
      </c>
      <c r="D987" s="9">
        <v>45930</v>
      </c>
      <c r="E987" s="12">
        <v>50000</v>
      </c>
      <c r="F987" t="str" cm="1">
        <f t="array" ref="F987">_xlfn.IFS(G987&lt;5000000, "Bronze", G987&lt;10000000, "Silver", G987&lt;20000000, "Gold", G987&gt;=20000000, "Diamond")</f>
        <v>Diamond</v>
      </c>
      <c r="G987" s="11">
        <f>SUMIF(Data_Donasi[Nama_Donatur],Data_Donasi[[#This Row],[Nama_Donatur]],Data_Donasi[Nominal])</f>
        <v>22000000</v>
      </c>
    </row>
    <row r="988" spans="1:7" x14ac:dyDescent="0.3">
      <c r="A988" s="14" t="s">
        <v>10</v>
      </c>
      <c r="B988" s="4" t="s">
        <v>110</v>
      </c>
      <c r="C988" s="4" t="s">
        <v>210</v>
      </c>
      <c r="D988" s="9">
        <v>45930</v>
      </c>
      <c r="E988" s="12">
        <v>200000</v>
      </c>
      <c r="F988" t="str" cm="1">
        <f t="array" ref="F988">_xlfn.IFS(G988&lt;5000000, "Bronze", G988&lt;10000000, "Silver", G988&lt;20000000, "Gold", G988&gt;=20000000, "Diamond")</f>
        <v>Diamond</v>
      </c>
      <c r="G988" s="11">
        <f>SUMIF(Data_Donasi[Nama_Donatur],Data_Donasi[[#This Row],[Nama_Donatur]],Data_Donasi[Nominal])</f>
        <v>36200000</v>
      </c>
    </row>
    <row r="989" spans="1:7" x14ac:dyDescent="0.3">
      <c r="A989" s="14" t="s">
        <v>91</v>
      </c>
      <c r="B989" s="4" t="s">
        <v>191</v>
      </c>
      <c r="C989" s="4" t="s">
        <v>291</v>
      </c>
      <c r="D989" s="9">
        <v>45930</v>
      </c>
      <c r="E989" s="12">
        <v>150000</v>
      </c>
      <c r="F989" t="str" cm="1">
        <f t="array" ref="F989">_xlfn.IFS(G989&lt;5000000, "Bronze", G989&lt;10000000, "Silver", G989&lt;20000000, "Gold", G989&gt;=20000000, "Diamond")</f>
        <v>Diamond</v>
      </c>
      <c r="G989" s="11">
        <f>SUMIF(Data_Donasi[Nama_Donatur],Data_Donasi[[#This Row],[Nama_Donatur]],Data_Donasi[Nominal])</f>
        <v>40950000</v>
      </c>
    </row>
    <row r="990" spans="1:7" x14ac:dyDescent="0.3">
      <c r="A990" s="14" t="s">
        <v>87</v>
      </c>
      <c r="B990" s="4" t="s">
        <v>187</v>
      </c>
      <c r="C990" s="4" t="s">
        <v>287</v>
      </c>
      <c r="D990" s="9">
        <v>45930</v>
      </c>
      <c r="E990" s="12">
        <v>20000000</v>
      </c>
      <c r="F990" t="str" cm="1">
        <f t="array" ref="F990">_xlfn.IFS(G990&lt;5000000, "Bronze", G990&lt;10000000, "Silver", G990&lt;20000000, "Gold", G990&gt;=20000000, "Diamond")</f>
        <v>Diamond</v>
      </c>
      <c r="G990" s="11">
        <f>SUMIF(Data_Donasi[Nama_Donatur],Data_Donasi[[#This Row],[Nama_Donatur]],Data_Donasi[Nominal])</f>
        <v>26100000</v>
      </c>
    </row>
    <row r="991" spans="1:7" x14ac:dyDescent="0.3">
      <c r="A991" s="14" t="s">
        <v>67</v>
      </c>
      <c r="B991" s="4" t="s">
        <v>167</v>
      </c>
      <c r="C991" s="4" t="s">
        <v>267</v>
      </c>
      <c r="D991" s="9">
        <v>45931</v>
      </c>
      <c r="E991" s="12">
        <v>500000</v>
      </c>
      <c r="F991" t="str" cm="1">
        <f t="array" ref="F991">_xlfn.IFS(G991&lt;5000000, "Bronze", G991&lt;10000000, "Silver", G991&lt;20000000, "Gold", G991&gt;=20000000, "Diamond")</f>
        <v>Diamond</v>
      </c>
      <c r="G991" s="11">
        <f>SUMIF(Data_Donasi[Nama_Donatur],Data_Donasi[[#This Row],[Nama_Donatur]],Data_Donasi[Nominal])</f>
        <v>28450000</v>
      </c>
    </row>
    <row r="992" spans="1:7" x14ac:dyDescent="0.3">
      <c r="A992" s="14" t="s">
        <v>26</v>
      </c>
      <c r="B992" s="4" t="s">
        <v>126</v>
      </c>
      <c r="C992" s="4" t="s">
        <v>226</v>
      </c>
      <c r="D992" s="9">
        <v>45931</v>
      </c>
      <c r="E992" s="12">
        <v>20000000</v>
      </c>
      <c r="F992" t="str" cm="1">
        <f t="array" ref="F992">_xlfn.IFS(G992&lt;5000000, "Bronze", G992&lt;10000000, "Silver", G992&lt;20000000, "Gold", G992&gt;=20000000, "Diamond")</f>
        <v>Diamond</v>
      </c>
      <c r="G992" s="11">
        <f>SUMIF(Data_Donasi[Nama_Donatur],Data_Donasi[[#This Row],[Nama_Donatur]],Data_Donasi[Nominal])</f>
        <v>46450000</v>
      </c>
    </row>
    <row r="993" spans="1:7" x14ac:dyDescent="0.3">
      <c r="A993" s="14" t="s">
        <v>20</v>
      </c>
      <c r="B993" s="4" t="s">
        <v>120</v>
      </c>
      <c r="C993" s="4" t="s">
        <v>220</v>
      </c>
      <c r="D993" s="9">
        <v>45931</v>
      </c>
      <c r="E993" s="12">
        <v>100000</v>
      </c>
      <c r="F993" t="str" cm="1">
        <f t="array" ref="F993">_xlfn.IFS(G993&lt;5000000, "Bronze", G993&lt;10000000, "Silver", G993&lt;20000000, "Gold", G993&gt;=20000000, "Diamond")</f>
        <v>Diamond</v>
      </c>
      <c r="G993" s="11">
        <f>SUMIF(Data_Donasi[Nama_Donatur],Data_Donasi[[#This Row],[Nama_Donatur]],Data_Donasi[Nominal])</f>
        <v>25800000</v>
      </c>
    </row>
    <row r="994" spans="1:7" x14ac:dyDescent="0.3">
      <c r="A994" s="14" t="s">
        <v>101</v>
      </c>
      <c r="B994" s="4" t="s">
        <v>201</v>
      </c>
      <c r="C994" s="4" t="s">
        <v>301</v>
      </c>
      <c r="D994" s="9">
        <v>45931</v>
      </c>
      <c r="E994" s="12">
        <v>7000000</v>
      </c>
      <c r="F994" t="str" cm="1">
        <f t="array" ref="F994">_xlfn.IFS(G994&lt;5000000, "Bronze", G994&lt;10000000, "Silver", G994&lt;20000000, "Gold", G994&gt;=20000000, "Diamond")</f>
        <v>Silver</v>
      </c>
      <c r="G994" s="11">
        <f>SUMIF(Data_Donasi[Nama_Donatur],Data_Donasi[[#This Row],[Nama_Donatur]],Data_Donasi[Nominal])</f>
        <v>8650000</v>
      </c>
    </row>
    <row r="995" spans="1:7" x14ac:dyDescent="0.3">
      <c r="A995" s="14" t="s">
        <v>14</v>
      </c>
      <c r="B995" s="4" t="s">
        <v>114</v>
      </c>
      <c r="C995" s="4" t="s">
        <v>214</v>
      </c>
      <c r="D995" s="9">
        <v>45932</v>
      </c>
      <c r="E995" s="12">
        <v>2000000</v>
      </c>
      <c r="F995" t="str" cm="1">
        <f t="array" ref="F995">_xlfn.IFS(G995&lt;5000000, "Bronze", G995&lt;10000000, "Silver", G995&lt;20000000, "Gold", G995&gt;=20000000, "Diamond")</f>
        <v>Diamond</v>
      </c>
      <c r="G995" s="11">
        <f>SUMIF(Data_Donasi[Nama_Donatur],Data_Donasi[[#This Row],[Nama_Donatur]],Data_Donasi[Nominal])</f>
        <v>73750000</v>
      </c>
    </row>
    <row r="996" spans="1:7" x14ac:dyDescent="0.3">
      <c r="A996" s="14" t="s">
        <v>39</v>
      </c>
      <c r="B996" s="4" t="s">
        <v>139</v>
      </c>
      <c r="C996" s="4" t="s">
        <v>239</v>
      </c>
      <c r="D996" s="9">
        <v>45932</v>
      </c>
      <c r="E996" s="12">
        <v>200000</v>
      </c>
      <c r="F996" t="str" cm="1">
        <f t="array" ref="F996">_xlfn.IFS(G996&lt;5000000, "Bronze", G996&lt;10000000, "Silver", G996&lt;20000000, "Gold", G996&gt;=20000000, "Diamond")</f>
        <v>Diamond</v>
      </c>
      <c r="G996" s="11">
        <f>SUMIF(Data_Donasi[Nama_Donatur],Data_Donasi[[#This Row],[Nama_Donatur]],Data_Donasi[Nominal])</f>
        <v>50750000</v>
      </c>
    </row>
    <row r="997" spans="1:7" x14ac:dyDescent="0.3">
      <c r="A997" s="14" t="s">
        <v>47</v>
      </c>
      <c r="B997" s="4" t="s">
        <v>147</v>
      </c>
      <c r="C997" s="4" t="s">
        <v>247</v>
      </c>
      <c r="D997" s="9">
        <v>45932</v>
      </c>
      <c r="E997" s="12">
        <v>3000000</v>
      </c>
      <c r="F997" t="str" cm="1">
        <f t="array" ref="F997">_xlfn.IFS(G997&lt;5000000, "Bronze", G997&lt;10000000, "Silver", G997&lt;20000000, "Gold", G997&gt;=20000000, "Diamond")</f>
        <v>Diamond</v>
      </c>
      <c r="G997" s="11">
        <f>SUMIF(Data_Donasi[Nama_Donatur],Data_Donasi[[#This Row],[Nama_Donatur]],Data_Donasi[Nominal])</f>
        <v>45000000</v>
      </c>
    </row>
    <row r="998" spans="1:7" x14ac:dyDescent="0.3">
      <c r="A998" s="14" t="s">
        <v>32</v>
      </c>
      <c r="B998" s="4" t="s">
        <v>132</v>
      </c>
      <c r="C998" s="4" t="s">
        <v>232</v>
      </c>
      <c r="D998" s="9">
        <v>45932</v>
      </c>
      <c r="E998" s="12">
        <v>1000000</v>
      </c>
      <c r="F998" t="str" cm="1">
        <f t="array" ref="F998">_xlfn.IFS(G998&lt;5000000, "Bronze", G998&lt;10000000, "Silver", G998&lt;20000000, "Gold", G998&gt;=20000000, "Diamond")</f>
        <v>Diamond</v>
      </c>
      <c r="G998" s="11">
        <f>SUMIF(Data_Donasi[Nama_Donatur],Data_Donasi[[#This Row],[Nama_Donatur]],Data_Donasi[Nominal])</f>
        <v>23800000</v>
      </c>
    </row>
    <row r="999" spans="1:7" x14ac:dyDescent="0.3">
      <c r="A999" s="14" t="s">
        <v>9</v>
      </c>
      <c r="B999" s="4" t="s">
        <v>109</v>
      </c>
      <c r="C999" s="4" t="s">
        <v>209</v>
      </c>
      <c r="D999" s="9">
        <v>45932</v>
      </c>
      <c r="E999" s="12">
        <v>50000</v>
      </c>
      <c r="F999" t="str" cm="1">
        <f t="array" ref="F999">_xlfn.IFS(G999&lt;5000000, "Bronze", G999&lt;10000000, "Silver", G999&lt;20000000, "Gold", G999&gt;=20000000, "Diamond")</f>
        <v>Diamond</v>
      </c>
      <c r="G999" s="11">
        <f>SUMIF(Data_Donasi[Nama_Donatur],Data_Donasi[[#This Row],[Nama_Donatur]],Data_Donasi[Nominal])</f>
        <v>24900000</v>
      </c>
    </row>
    <row r="1000" spans="1:7" x14ac:dyDescent="0.3">
      <c r="A1000" s="14" t="s">
        <v>27</v>
      </c>
      <c r="B1000" s="4" t="s">
        <v>127</v>
      </c>
      <c r="C1000" s="4" t="s">
        <v>227</v>
      </c>
      <c r="D1000" s="9">
        <v>45932</v>
      </c>
      <c r="E1000" s="12">
        <v>5000000</v>
      </c>
      <c r="F1000" t="str" cm="1">
        <f t="array" ref="F1000">_xlfn.IFS(G1000&lt;5000000, "Bronze", G1000&lt;10000000, "Silver", G1000&lt;20000000, "Gold", G1000&gt;=20000000, "Diamond")</f>
        <v>Diamond</v>
      </c>
      <c r="G1000" s="11">
        <f>SUMIF(Data_Donasi[Nama_Donatur],Data_Donasi[[#This Row],[Nama_Donatur]],Data_Donasi[Nominal])</f>
        <v>29050000</v>
      </c>
    </row>
    <row r="1001" spans="1:7" x14ac:dyDescent="0.3">
      <c r="A1001" s="14" t="s">
        <v>77</v>
      </c>
      <c r="B1001" s="4" t="s">
        <v>177</v>
      </c>
      <c r="C1001" s="4" t="s">
        <v>277</v>
      </c>
      <c r="D1001" s="9">
        <v>45933</v>
      </c>
      <c r="E1001" s="12">
        <v>7000000</v>
      </c>
      <c r="F1001" t="str" cm="1">
        <f t="array" ref="F1001">_xlfn.IFS(G1001&lt;5000000, "Bronze", G1001&lt;10000000, "Silver", G1001&lt;20000000, "Gold", G1001&gt;=20000000, "Diamond")</f>
        <v>Diamond</v>
      </c>
      <c r="G1001" s="11">
        <f>SUMIF(Data_Donasi[Nama_Donatur],Data_Donasi[[#This Row],[Nama_Donatur]],Data_Donasi[Nominal])</f>
        <v>47350000</v>
      </c>
    </row>
  </sheetData>
  <phoneticPr fontId="3" type="noConversion"/>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FD46F-32E5-41E6-A82D-09F583074467}">
  <dimension ref="A1:I118"/>
  <sheetViews>
    <sheetView topLeftCell="B89" zoomScale="89" workbookViewId="0">
      <selection activeCell="F114" sqref="F114"/>
    </sheetView>
  </sheetViews>
  <sheetFormatPr defaultRowHeight="14.4" x14ac:dyDescent="0.3"/>
  <cols>
    <col min="1" max="1" width="26.6640625" bestFit="1" customWidth="1"/>
    <col min="2" max="2" width="20.109375" customWidth="1"/>
    <col min="3" max="3" width="23.88671875" bestFit="1" customWidth="1"/>
    <col min="4" max="4" width="24.44140625" bestFit="1" customWidth="1"/>
    <col min="5" max="5" width="14.6640625" bestFit="1" customWidth="1"/>
    <col min="6" max="6" width="16.77734375" bestFit="1" customWidth="1"/>
    <col min="7" max="7" width="8.44140625" bestFit="1" customWidth="1"/>
    <col min="8" max="8" width="20.6640625" bestFit="1" customWidth="1"/>
    <col min="9" max="9" width="11.77734375" bestFit="1" customWidth="1"/>
  </cols>
  <sheetData>
    <row r="1" spans="1:9" x14ac:dyDescent="0.3">
      <c r="A1" s="16" t="s">
        <v>0</v>
      </c>
      <c r="B1" t="s">
        <v>310</v>
      </c>
      <c r="C1" t="s">
        <v>311</v>
      </c>
      <c r="D1" t="s">
        <v>312</v>
      </c>
      <c r="E1" t="s">
        <v>313</v>
      </c>
      <c r="F1" t="s">
        <v>314</v>
      </c>
      <c r="G1" t="s">
        <v>307</v>
      </c>
      <c r="H1" t="s">
        <v>320</v>
      </c>
      <c r="I1" t="s">
        <v>319</v>
      </c>
    </row>
    <row r="2" spans="1:9" x14ac:dyDescent="0.3">
      <c r="A2" s="17" t="s">
        <v>30</v>
      </c>
      <c r="B2">
        <v>15</v>
      </c>
      <c r="C2" s="15">
        <v>45666</v>
      </c>
      <c r="D2" s="15">
        <v>45930</v>
      </c>
      <c r="E2">
        <f ca="1">12*(YEAR(TODAY()) - YEAR(D2))+ (MONTH(TODAY()) - MONTH(D2))</f>
        <v>7</v>
      </c>
      <c r="F2">
        <f>IF((12 * (YEAR(D2) - YEAR(C2)) + (MONTH(D2) - MONTH(C2))) = 0, B2, B2 / (12 * (YEAR(D2) - YEAR(C2)) + (MONTH(D2) - MONTH(C2))))</f>
        <v>1.875</v>
      </c>
      <c r="G2" t="str" cm="1">
        <f t="array" aca="1" ref="G2" ca="1">IFERROR(_xlfn.IFS(B2/(MAX(1, 12*(YEAR(D2)-YEAR(C2)) + (MONTH(D2)-MONTH(C2)))) &gt;= 2, "Loyal",D2 &gt;= EDATE(TODAY(), -3), "Aktif",TRUE, "Pasif"),"Pasif")</f>
        <v>Pasif</v>
      </c>
      <c r="H2" s="11">
        <v>135600000</v>
      </c>
      <c r="I2" t="str" cm="1">
        <f t="array" ref="I2">_xlfn.IFS(H2&lt;5000000, "Bronze",H2&lt;10000000, "Silver",H2&lt;20000000, "Gold", H2&gt;=20000000, "Diamond")</f>
        <v>Diamond</v>
      </c>
    </row>
    <row r="3" spans="1:9" x14ac:dyDescent="0.3">
      <c r="A3" s="17" t="s">
        <v>78</v>
      </c>
      <c r="B3">
        <v>17</v>
      </c>
      <c r="C3" s="15">
        <v>45676</v>
      </c>
      <c r="D3" s="15">
        <v>45916</v>
      </c>
      <c r="E3">
        <f ca="1">12*(YEAR(TODAY()) - YEAR(D3))+ (MONTH(TODAY()) - MONTH(D3))</f>
        <v>7</v>
      </c>
      <c r="F3">
        <f>IF((12 * (YEAR(D3) - YEAR(C3)) + (MONTH(D3) - MONTH(C3))) = 0, B3, B3 / (12 * (YEAR(D3) - YEAR(C3)) + (MONTH(D3) - MONTH(C3))))</f>
        <v>2.125</v>
      </c>
      <c r="G3" t="str" cm="1">
        <f t="array" aca="1" ref="G3" ca="1">IFERROR(_xlfn.IFS(B3/(MAX(1, 12*(YEAR(D3)-YEAR(C3)) + (MONTH(D3)-MONTH(C3)))) &gt;= 2, "Loyal",D3 &gt;= EDATE(TODAY(), -3), "Aktif",TRUE, "Pasif"),"Pasif")</f>
        <v>Loyal</v>
      </c>
      <c r="H3" s="11">
        <v>115650000</v>
      </c>
      <c r="I3" t="str" cm="1">
        <f t="array" ref="I3">_xlfn.IFS(H3&lt;5000000, "Bronze",H3&lt;10000000, "Silver",H3&lt;20000000, "Gold", H3&gt;=20000000, "Diamond")</f>
        <v>Diamond</v>
      </c>
    </row>
    <row r="4" spans="1:9" x14ac:dyDescent="0.3">
      <c r="A4" s="17" t="s">
        <v>35</v>
      </c>
      <c r="B4">
        <v>14</v>
      </c>
      <c r="C4" s="15">
        <v>45664</v>
      </c>
      <c r="D4" s="15">
        <v>45906</v>
      </c>
      <c r="E4">
        <f ca="1">12*(YEAR(TODAY()) - YEAR(D4))+ (MONTH(TODAY()) - MONTH(D4))</f>
        <v>7</v>
      </c>
      <c r="F4">
        <f>IF((12 * (YEAR(D4) - YEAR(C4)) + (MONTH(D4) - MONTH(C4))) = 0, B4, B4 / (12 * (YEAR(D4) - YEAR(C4)) + (MONTH(D4) - MONTH(C4))))</f>
        <v>1.75</v>
      </c>
      <c r="G4" t="str" cm="1">
        <f t="array" aca="1" ref="G4" ca="1">IFERROR(_xlfn.IFS(B4/(MAX(1, 12*(YEAR(D4)-YEAR(C4)) + (MONTH(D4)-MONTH(C4)))) &gt;= 2, "Loyal",D4 &gt;= EDATE(TODAY(), -3), "Aktif",TRUE, "Pasif"),"Pasif")</f>
        <v>Pasif</v>
      </c>
      <c r="H4" s="11">
        <v>97200000</v>
      </c>
      <c r="I4" t="str" cm="1">
        <f t="array" ref="I4">_xlfn.IFS(H4&lt;5000000, "Bronze",H4&lt;10000000, "Silver",H4&lt;20000000, "Gold", H4&gt;=20000000, "Diamond")</f>
        <v>Diamond</v>
      </c>
    </row>
    <row r="5" spans="1:9" x14ac:dyDescent="0.3">
      <c r="A5" s="17" t="s">
        <v>17</v>
      </c>
      <c r="B5">
        <v>15</v>
      </c>
      <c r="C5" s="15">
        <v>45668</v>
      </c>
      <c r="D5" s="15">
        <v>45930</v>
      </c>
      <c r="E5">
        <f ca="1">12*(YEAR(TODAY()) - YEAR(D5))+ (MONTH(TODAY()) - MONTH(D5))</f>
        <v>7</v>
      </c>
      <c r="F5">
        <f>IF((12 * (YEAR(D5) - YEAR(C5)) + (MONTH(D5) - MONTH(C5))) = 0, B5, B5 / (12 * (YEAR(D5) - YEAR(C5)) + (MONTH(D5) - MONTH(C5))))</f>
        <v>1.875</v>
      </c>
      <c r="G5" t="str" cm="1">
        <f t="array" aca="1" ref="G5" ca="1">IFERROR(_xlfn.IFS(B5/(MAX(1, 12*(YEAR(D5)-YEAR(C5)) + (MONTH(D5)-MONTH(C5)))) &gt;= 2, "Loyal",D5 &gt;= EDATE(TODAY(), -3), "Aktif",TRUE, "Pasif"),"Pasif")</f>
        <v>Pasif</v>
      </c>
      <c r="H5" s="11">
        <v>86000000</v>
      </c>
      <c r="I5" t="str" cm="1">
        <f t="array" ref="I5">_xlfn.IFS(H5&lt;5000000, "Bronze",H5&lt;10000000, "Silver",H5&lt;20000000, "Gold", H5&gt;=20000000, "Diamond")</f>
        <v>Diamond</v>
      </c>
    </row>
    <row r="6" spans="1:9" x14ac:dyDescent="0.3">
      <c r="A6" s="17" t="s">
        <v>81</v>
      </c>
      <c r="B6">
        <v>13</v>
      </c>
      <c r="C6" s="15">
        <v>45720</v>
      </c>
      <c r="D6" s="15">
        <v>45923</v>
      </c>
      <c r="E6">
        <f ca="1">12*(YEAR(TODAY()) - YEAR(D6))+ (MONTH(TODAY()) - MONTH(D6))</f>
        <v>7</v>
      </c>
      <c r="F6">
        <f>IF((12 * (YEAR(D6) - YEAR(C6)) + (MONTH(D6) - MONTH(C6))) = 0, B6, B6 / (12 * (YEAR(D6) - YEAR(C6)) + (MONTH(D6) - MONTH(C6))))</f>
        <v>2.1666666666666665</v>
      </c>
      <c r="G6" t="str" cm="1">
        <f t="array" aca="1" ref="G6" ca="1">IFERROR(_xlfn.IFS(B6/(MAX(1, 12*(YEAR(D6)-YEAR(C6)) + (MONTH(D6)-MONTH(C6)))) &gt;= 2, "Loyal",D6 &gt;= EDATE(TODAY(), -3), "Aktif",TRUE, "Pasif"),"Pasif")</f>
        <v>Loyal</v>
      </c>
      <c r="H6" s="11">
        <v>86000000</v>
      </c>
      <c r="I6" t="str" cm="1">
        <f t="array" ref="I6">_xlfn.IFS(H6&lt;5000000, "Bronze",H6&lt;10000000, "Silver",H6&lt;20000000, "Gold", H6&gt;=20000000, "Diamond")</f>
        <v>Diamond</v>
      </c>
    </row>
    <row r="7" spans="1:9" x14ac:dyDescent="0.3">
      <c r="A7" s="17" t="s">
        <v>15</v>
      </c>
      <c r="B7">
        <v>17</v>
      </c>
      <c r="C7" s="15">
        <v>45683</v>
      </c>
      <c r="D7" s="15">
        <v>45909</v>
      </c>
      <c r="E7">
        <f ca="1">12*(YEAR(TODAY()) - YEAR(D7))+ (MONTH(TODAY()) - MONTH(D7))</f>
        <v>7</v>
      </c>
      <c r="F7">
        <f>IF((12 * (YEAR(D7) - YEAR(C7)) + (MONTH(D7) - MONTH(C7))) = 0, B7, B7 / (12 * (YEAR(D7) - YEAR(C7)) + (MONTH(D7) - MONTH(C7))))</f>
        <v>2.125</v>
      </c>
      <c r="G7" t="str" cm="1">
        <f t="array" aca="1" ref="G7" ca="1">IFERROR(_xlfn.IFS(B7/(MAX(1, 12*(YEAR(D7)-YEAR(C7)) + (MONTH(D7)-MONTH(C7)))) &gt;= 2, "Loyal",D7 &gt;= EDATE(TODAY(), -3), "Aktif",TRUE, "Pasif"),"Pasif")</f>
        <v>Loyal</v>
      </c>
      <c r="H7" s="11">
        <v>84750000</v>
      </c>
      <c r="I7" t="str" cm="1">
        <f t="array" ref="I7">_xlfn.IFS(H7&lt;5000000, "Bronze",H7&lt;10000000, "Silver",H7&lt;20000000, "Gold", H7&gt;=20000000, "Diamond")</f>
        <v>Diamond</v>
      </c>
    </row>
    <row r="8" spans="1:9" x14ac:dyDescent="0.3">
      <c r="A8" s="17" t="s">
        <v>14</v>
      </c>
      <c r="B8">
        <v>19</v>
      </c>
      <c r="C8" s="15">
        <v>45660</v>
      </c>
      <c r="D8" s="15">
        <v>45932</v>
      </c>
      <c r="E8">
        <f ca="1">12*(YEAR(TODAY()) - YEAR(D8))+ (MONTH(TODAY()) - MONTH(D8))</f>
        <v>6</v>
      </c>
      <c r="F8">
        <f>IF((12 * (YEAR(D8) - YEAR(C8)) + (MONTH(D8) - MONTH(C8))) = 0, B8, B8 / (12 * (YEAR(D8) - YEAR(C8)) + (MONTH(D8) - MONTH(C8))))</f>
        <v>2.1111111111111112</v>
      </c>
      <c r="G8" t="str" cm="1">
        <f t="array" aca="1" ref="G8" ca="1">IFERROR(_xlfn.IFS(B8/(MAX(1, 12*(YEAR(D8)-YEAR(C8)) + (MONTH(D8)-MONTH(C8)))) &gt;= 2, "Loyal",D8 &gt;= EDATE(TODAY(), -3), "Aktif",TRUE, "Pasif"),"Pasif")</f>
        <v>Loyal</v>
      </c>
      <c r="H8" s="11">
        <v>73750000</v>
      </c>
      <c r="I8" t="str" cm="1">
        <f t="array" ref="I8">_xlfn.IFS(H8&lt;5000000, "Bronze",H8&lt;10000000, "Silver",H8&lt;20000000, "Gold", H8&gt;=20000000, "Diamond")</f>
        <v>Diamond</v>
      </c>
    </row>
    <row r="9" spans="1:9" x14ac:dyDescent="0.3">
      <c r="A9" s="17" t="s">
        <v>31</v>
      </c>
      <c r="B9">
        <v>16</v>
      </c>
      <c r="C9" s="15">
        <v>45662</v>
      </c>
      <c r="D9" s="15">
        <v>45915</v>
      </c>
      <c r="E9">
        <f ca="1">12*(YEAR(TODAY()) - YEAR(D9))+ (MONTH(TODAY()) - MONTH(D9))</f>
        <v>7</v>
      </c>
      <c r="F9">
        <f>IF((12 * (YEAR(D9) - YEAR(C9)) + (MONTH(D9) - MONTH(C9))) = 0, B9, B9 / (12 * (YEAR(D9) - YEAR(C9)) + (MONTH(D9) - MONTH(C9))))</f>
        <v>2</v>
      </c>
      <c r="G9" t="str" cm="1">
        <f t="array" aca="1" ref="G9" ca="1">IFERROR(_xlfn.IFS(B9/(MAX(1, 12*(YEAR(D9)-YEAR(C9)) + (MONTH(D9)-MONTH(C9)))) &gt;= 2, "Loyal",D9 &gt;= EDATE(TODAY(), -3), "Aktif",TRUE, "Pasif"),"Pasif")</f>
        <v>Loyal</v>
      </c>
      <c r="H9" s="11">
        <v>73400000</v>
      </c>
      <c r="I9" t="str" cm="1">
        <f t="array" ref="I9">_xlfn.IFS(H9&lt;5000000, "Bronze",H9&lt;10000000, "Silver",H9&lt;20000000, "Gold", H9&gt;=20000000, "Diamond")</f>
        <v>Diamond</v>
      </c>
    </row>
    <row r="10" spans="1:9" x14ac:dyDescent="0.3">
      <c r="A10" s="17" t="s">
        <v>22</v>
      </c>
      <c r="B10">
        <v>12</v>
      </c>
      <c r="C10" s="15">
        <v>45674</v>
      </c>
      <c r="D10" s="15">
        <v>45913</v>
      </c>
      <c r="E10">
        <f ca="1">12*(YEAR(TODAY()) - YEAR(D10))+ (MONTH(TODAY()) - MONTH(D10))</f>
        <v>7</v>
      </c>
      <c r="F10">
        <f>IF((12 * (YEAR(D10) - YEAR(C10)) + (MONTH(D10) - MONTH(C10))) = 0, B10, B10 / (12 * (YEAR(D10) - YEAR(C10)) + (MONTH(D10) - MONTH(C10))))</f>
        <v>1.5</v>
      </c>
      <c r="G10" t="str" cm="1">
        <f t="array" aca="1" ref="G10" ca="1">IFERROR(_xlfn.IFS(B10/(MAX(1, 12*(YEAR(D10)-YEAR(C10)) + (MONTH(D10)-MONTH(C10)))) &gt;= 2, "Loyal",D10 &gt;= EDATE(TODAY(), -3), "Aktif",TRUE, "Pasif"),"Pasif")</f>
        <v>Pasif</v>
      </c>
      <c r="H10" s="11">
        <v>67900000</v>
      </c>
      <c r="I10" t="str" cm="1">
        <f t="array" ref="I10">_xlfn.IFS(H10&lt;5000000, "Bronze",H10&lt;10000000, "Silver",H10&lt;20000000, "Gold", H10&gt;=20000000, "Diamond")</f>
        <v>Diamond</v>
      </c>
    </row>
    <row r="11" spans="1:9" x14ac:dyDescent="0.3">
      <c r="A11" s="17" t="s">
        <v>44</v>
      </c>
      <c r="B11">
        <v>12</v>
      </c>
      <c r="C11" s="15">
        <v>45685</v>
      </c>
      <c r="D11" s="15">
        <v>45910</v>
      </c>
      <c r="E11">
        <f ca="1">12*(YEAR(TODAY()) - YEAR(D11))+ (MONTH(TODAY()) - MONTH(D11))</f>
        <v>7</v>
      </c>
      <c r="F11">
        <f>IF((12 * (YEAR(D11) - YEAR(C11)) + (MONTH(D11) - MONTH(C11))) = 0, B11, B11 / (12 * (YEAR(D11) - YEAR(C11)) + (MONTH(D11) - MONTH(C11))))</f>
        <v>1.5</v>
      </c>
      <c r="G11" t="str" cm="1">
        <f t="array" aca="1" ref="G11" ca="1">IFERROR(_xlfn.IFS(B11/(MAX(1, 12*(YEAR(D11)-YEAR(C11)) + (MONTH(D11)-MONTH(C11)))) &gt;= 2, "Loyal",D11 &gt;= EDATE(TODAY(), -3), "Aktif",TRUE, "Pasif"),"Pasif")</f>
        <v>Pasif</v>
      </c>
      <c r="H11" s="11">
        <v>66400000</v>
      </c>
      <c r="I11" t="str" cm="1">
        <f t="array" ref="I11">_xlfn.IFS(H11&lt;5000000, "Bronze",H11&lt;10000000, "Silver",H11&lt;20000000, "Gold", H11&gt;=20000000, "Diamond")</f>
        <v>Diamond</v>
      </c>
    </row>
    <row r="12" spans="1:9" x14ac:dyDescent="0.3">
      <c r="A12" s="17" t="s">
        <v>82</v>
      </c>
      <c r="B12">
        <v>10</v>
      </c>
      <c r="C12" s="15">
        <v>45676</v>
      </c>
      <c r="D12" s="15">
        <v>45893</v>
      </c>
      <c r="E12">
        <f ca="1">12*(YEAR(TODAY()) - YEAR(D12))+ (MONTH(TODAY()) - MONTH(D12))</f>
        <v>8</v>
      </c>
      <c r="F12">
        <f>IF((12 * (YEAR(D12) - YEAR(C12)) + (MONTH(D12) - MONTH(C12))) = 0, B12, B12 / (12 * (YEAR(D12) - YEAR(C12)) + (MONTH(D12) - MONTH(C12))))</f>
        <v>1.4285714285714286</v>
      </c>
      <c r="G12" t="str" cm="1">
        <f t="array" aca="1" ref="G12" ca="1">IFERROR(_xlfn.IFS(B12/(MAX(1, 12*(YEAR(D12)-YEAR(C12)) + (MONTH(D12)-MONTH(C12)))) &gt;= 2, "Loyal",D12 &gt;= EDATE(TODAY(), -3), "Aktif",TRUE, "Pasif"),"Pasif")</f>
        <v>Pasif</v>
      </c>
      <c r="H12" s="11">
        <v>63700000</v>
      </c>
      <c r="I12" t="str" cm="1">
        <f t="array" ref="I12">_xlfn.IFS(H12&lt;5000000, "Bronze",H12&lt;10000000, "Silver",H12&lt;20000000, "Gold", H12&gt;=20000000, "Diamond")</f>
        <v>Diamond</v>
      </c>
    </row>
    <row r="13" spans="1:9" x14ac:dyDescent="0.3">
      <c r="A13" s="17" t="s">
        <v>19</v>
      </c>
      <c r="B13">
        <v>11</v>
      </c>
      <c r="C13" s="15">
        <v>45665</v>
      </c>
      <c r="D13" s="15">
        <v>45900</v>
      </c>
      <c r="E13">
        <f ca="1">12*(YEAR(TODAY()) - YEAR(D13))+ (MONTH(TODAY()) - MONTH(D13))</f>
        <v>8</v>
      </c>
      <c r="F13">
        <f>IF((12 * (YEAR(D13) - YEAR(C13)) + (MONTH(D13) - MONTH(C13))) = 0, B13, B13 / (12 * (YEAR(D13) - YEAR(C13)) + (MONTH(D13) - MONTH(C13))))</f>
        <v>1.5714285714285714</v>
      </c>
      <c r="G13" t="str" cm="1">
        <f t="array" aca="1" ref="G13" ca="1">IFERROR(_xlfn.IFS(B13/(MAX(1, 12*(YEAR(D13)-YEAR(C13)) + (MONTH(D13)-MONTH(C13)))) &gt;= 2, "Loyal",D13 &gt;= EDATE(TODAY(), -3), "Aktif",TRUE, "Pasif"),"Pasif")</f>
        <v>Pasif</v>
      </c>
      <c r="H13" s="11">
        <v>63400000</v>
      </c>
      <c r="I13" t="str" cm="1">
        <f t="array" ref="I13">_xlfn.IFS(H13&lt;5000000, "Bronze",H13&lt;10000000, "Silver",H13&lt;20000000, "Gold", H13&gt;=20000000, "Diamond")</f>
        <v>Diamond</v>
      </c>
    </row>
    <row r="14" spans="1:9" x14ac:dyDescent="0.3">
      <c r="A14" s="17" t="s">
        <v>21</v>
      </c>
      <c r="B14">
        <v>12</v>
      </c>
      <c r="C14" s="15">
        <v>45676</v>
      </c>
      <c r="D14" s="15">
        <v>45916</v>
      </c>
      <c r="E14">
        <f ca="1">12*(YEAR(TODAY()) - YEAR(D14))+ (MONTH(TODAY()) - MONTH(D14))</f>
        <v>7</v>
      </c>
      <c r="F14">
        <f>IF((12 * (YEAR(D14) - YEAR(C14)) + (MONTH(D14) - MONTH(C14))) = 0, B14, B14 / (12 * (YEAR(D14) - YEAR(C14)) + (MONTH(D14) - MONTH(C14))))</f>
        <v>1.5</v>
      </c>
      <c r="G14" t="str" cm="1">
        <f t="array" aca="1" ref="G14" ca="1">IFERROR(_xlfn.IFS(B14/(MAX(1, 12*(YEAR(D14)-YEAR(C14)) + (MONTH(D14)-MONTH(C14)))) &gt;= 2, "Loyal",D14 &gt;= EDATE(TODAY(), -3), "Aktif",TRUE, "Pasif"),"Pasif")</f>
        <v>Pasif</v>
      </c>
      <c r="H14" s="11">
        <v>61950000</v>
      </c>
      <c r="I14" t="str" cm="1">
        <f t="array" ref="I14">_xlfn.IFS(H14&lt;5000000, "Bronze",H14&lt;10000000, "Silver",H14&lt;20000000, "Gold", H14&gt;=20000000, "Diamond")</f>
        <v>Diamond</v>
      </c>
    </row>
    <row r="15" spans="1:9" x14ac:dyDescent="0.3">
      <c r="A15" s="17" t="s">
        <v>80</v>
      </c>
      <c r="B15">
        <v>9</v>
      </c>
      <c r="C15" s="15">
        <v>45690</v>
      </c>
      <c r="D15" s="15">
        <v>45928</v>
      </c>
      <c r="E15">
        <f ca="1">12*(YEAR(TODAY()) - YEAR(D15))+ (MONTH(TODAY()) - MONTH(D15))</f>
        <v>7</v>
      </c>
      <c r="F15">
        <f>IF((12 * (YEAR(D15) - YEAR(C15)) + (MONTH(D15) - MONTH(C15))) = 0, B15, B15 / (12 * (YEAR(D15) - YEAR(C15)) + (MONTH(D15) - MONTH(C15))))</f>
        <v>1.2857142857142858</v>
      </c>
      <c r="G15" t="str" cm="1">
        <f t="array" aca="1" ref="G15" ca="1">IFERROR(_xlfn.IFS(B15/(MAX(1, 12*(YEAR(D15)-YEAR(C15)) + (MONTH(D15)-MONTH(C15)))) &gt;= 2, "Loyal",D15 &gt;= EDATE(TODAY(), -3), "Aktif",TRUE, "Pasif"),"Pasif")</f>
        <v>Pasif</v>
      </c>
      <c r="H15" s="11">
        <v>57850000</v>
      </c>
      <c r="I15" t="str" cm="1">
        <f t="array" ref="I15">_xlfn.IFS(H15&lt;5000000, "Bronze",H15&lt;10000000, "Silver",H15&lt;20000000, "Gold", H15&gt;=20000000, "Diamond")</f>
        <v>Diamond</v>
      </c>
    </row>
    <row r="16" spans="1:9" x14ac:dyDescent="0.3">
      <c r="A16" s="17" t="s">
        <v>74</v>
      </c>
      <c r="B16">
        <v>11</v>
      </c>
      <c r="C16" s="15">
        <v>45700</v>
      </c>
      <c r="D16" s="15">
        <v>45861</v>
      </c>
      <c r="E16">
        <f ca="1">12*(YEAR(TODAY()) - YEAR(D16))+ (MONTH(TODAY()) - MONTH(D16))</f>
        <v>9</v>
      </c>
      <c r="F16">
        <f>IF((12 * (YEAR(D16) - YEAR(C16)) + (MONTH(D16) - MONTH(C16))) = 0, B16, B16 / (12 * (YEAR(D16) - YEAR(C16)) + (MONTH(D16) - MONTH(C16))))</f>
        <v>2.2000000000000002</v>
      </c>
      <c r="G16" t="str" cm="1">
        <f t="array" aca="1" ref="G16" ca="1">IFERROR(_xlfn.IFS(B16/(MAX(1, 12*(YEAR(D16)-YEAR(C16)) + (MONTH(D16)-MONTH(C16)))) &gt;= 2, "Loyal",D16 &gt;= EDATE(TODAY(), -3), "Aktif",TRUE, "Pasif"),"Pasif")</f>
        <v>Loyal</v>
      </c>
      <c r="H16" s="11">
        <v>57450000</v>
      </c>
      <c r="I16" t="str" cm="1">
        <f t="array" ref="I16">_xlfn.IFS(H16&lt;5000000, "Bronze",H16&lt;10000000, "Silver",H16&lt;20000000, "Gold", H16&gt;=20000000, "Diamond")</f>
        <v>Diamond</v>
      </c>
    </row>
    <row r="17" spans="1:9" x14ac:dyDescent="0.3">
      <c r="A17" s="17" t="s">
        <v>33</v>
      </c>
      <c r="B17">
        <v>11</v>
      </c>
      <c r="C17" s="15">
        <v>45673</v>
      </c>
      <c r="D17" s="15">
        <v>45926</v>
      </c>
      <c r="E17">
        <f ca="1">12*(YEAR(TODAY()) - YEAR(D17))+ (MONTH(TODAY()) - MONTH(D17))</f>
        <v>7</v>
      </c>
      <c r="F17">
        <f>IF((12 * (YEAR(D17) - YEAR(C17)) + (MONTH(D17) - MONTH(C17))) = 0, B17, B17 / (12 * (YEAR(D17) - YEAR(C17)) + (MONTH(D17) - MONTH(C17))))</f>
        <v>1.375</v>
      </c>
      <c r="G17" t="str" cm="1">
        <f t="array" aca="1" ref="G17" ca="1">IFERROR(_xlfn.IFS(B17/(MAX(1, 12*(YEAR(D17)-YEAR(C17)) + (MONTH(D17)-MONTH(C17)))) &gt;= 2, "Loyal",D17 &gt;= EDATE(TODAY(), -3), "Aktif",TRUE, "Pasif"),"Pasif")</f>
        <v>Pasif</v>
      </c>
      <c r="H17" s="11">
        <v>56850000</v>
      </c>
      <c r="I17" t="str" cm="1">
        <f t="array" ref="I17">_xlfn.IFS(H17&lt;5000000, "Bronze",H17&lt;10000000, "Silver",H17&lt;20000000, "Gold", H17&gt;=20000000, "Diamond")</f>
        <v>Diamond</v>
      </c>
    </row>
    <row r="18" spans="1:9" x14ac:dyDescent="0.3">
      <c r="A18" s="17" t="s">
        <v>102</v>
      </c>
      <c r="B18">
        <v>8</v>
      </c>
      <c r="C18" s="15">
        <v>45713</v>
      </c>
      <c r="D18" s="15">
        <v>45822</v>
      </c>
      <c r="E18">
        <f ca="1">12*(YEAR(TODAY()) - YEAR(D18))+ (MONTH(TODAY()) - MONTH(D18))</f>
        <v>10</v>
      </c>
      <c r="F18">
        <f>IF((12 * (YEAR(D18) - YEAR(C18)) + (MONTH(D18) - MONTH(C18))) = 0, B18, B18 / (12 * (YEAR(D18) - YEAR(C18)) + (MONTH(D18) - MONTH(C18))))</f>
        <v>2</v>
      </c>
      <c r="G18" t="str" cm="1">
        <f t="array" aca="1" ref="G18" ca="1">IFERROR(_xlfn.IFS(B18/(MAX(1, 12*(YEAR(D18)-YEAR(C18)) + (MONTH(D18)-MONTH(C18)))) &gt;= 2, "Loyal",D18 &gt;= EDATE(TODAY(), -3), "Aktif",TRUE, "Pasif"),"Pasif")</f>
        <v>Loyal</v>
      </c>
      <c r="H18" s="11">
        <v>55750000</v>
      </c>
      <c r="I18" t="str" cm="1">
        <f t="array" ref="I18">_xlfn.IFS(H18&lt;5000000, "Bronze",H18&lt;10000000, "Silver",H18&lt;20000000, "Gold", H18&gt;=20000000, "Diamond")</f>
        <v>Diamond</v>
      </c>
    </row>
    <row r="19" spans="1:9" x14ac:dyDescent="0.3">
      <c r="A19" s="17" t="s">
        <v>92</v>
      </c>
      <c r="B19">
        <v>10</v>
      </c>
      <c r="C19" s="15">
        <v>45671</v>
      </c>
      <c r="D19" s="15">
        <v>45911</v>
      </c>
      <c r="E19">
        <f ca="1">12*(YEAR(TODAY()) - YEAR(D19))+ (MONTH(TODAY()) - MONTH(D19))</f>
        <v>7</v>
      </c>
      <c r="F19">
        <f>IF((12 * (YEAR(D19) - YEAR(C19)) + (MONTH(D19) - MONTH(C19))) = 0, B19, B19 / (12 * (YEAR(D19) - YEAR(C19)) + (MONTH(D19) - MONTH(C19))))</f>
        <v>1.25</v>
      </c>
      <c r="G19" t="str" cm="1">
        <f t="array" aca="1" ref="G19" ca="1">IFERROR(_xlfn.IFS(B19/(MAX(1, 12*(YEAR(D19)-YEAR(C19)) + (MONTH(D19)-MONTH(C19)))) &gt;= 2, "Loyal",D19 &gt;= EDATE(TODAY(), -3), "Aktif",TRUE, "Pasif"),"Pasif")</f>
        <v>Pasif</v>
      </c>
      <c r="H19" s="11">
        <v>55700000</v>
      </c>
      <c r="I19" t="str" cm="1">
        <f t="array" ref="I19">_xlfn.IFS(H19&lt;5000000, "Bronze",H19&lt;10000000, "Silver",H19&lt;20000000, "Gold", H19&gt;=20000000, "Diamond")</f>
        <v>Diamond</v>
      </c>
    </row>
    <row r="20" spans="1:9" x14ac:dyDescent="0.3">
      <c r="A20" s="17" t="s">
        <v>23</v>
      </c>
      <c r="B20">
        <v>13</v>
      </c>
      <c r="C20" s="15">
        <v>45667</v>
      </c>
      <c r="D20" s="15">
        <v>45922</v>
      </c>
      <c r="E20">
        <f ca="1">12*(YEAR(TODAY()) - YEAR(D20))+ (MONTH(TODAY()) - MONTH(D20))</f>
        <v>7</v>
      </c>
      <c r="F20">
        <f>IF((12 * (YEAR(D20) - YEAR(C20)) + (MONTH(D20) - MONTH(C20))) = 0, B20, B20 / (12 * (YEAR(D20) - YEAR(C20)) + (MONTH(D20) - MONTH(C20))))</f>
        <v>1.625</v>
      </c>
      <c r="G20" t="str" cm="1">
        <f t="array" aca="1" ref="G20" ca="1">IFERROR(_xlfn.IFS(B20/(MAX(1, 12*(YEAR(D20)-YEAR(C20)) + (MONTH(D20)-MONTH(C20)))) &gt;= 2, "Loyal",D20 &gt;= EDATE(TODAY(), -3), "Aktif",TRUE, "Pasif"),"Pasif")</f>
        <v>Pasif</v>
      </c>
      <c r="H20" s="11">
        <v>55250000</v>
      </c>
      <c r="I20" t="str" cm="1">
        <f t="array" ref="I20">_xlfn.IFS(H20&lt;5000000, "Bronze",H20&lt;10000000, "Silver",H20&lt;20000000, "Gold", H20&gt;=20000000, "Diamond")</f>
        <v>Diamond</v>
      </c>
    </row>
    <row r="21" spans="1:9" x14ac:dyDescent="0.3">
      <c r="A21" s="17" t="s">
        <v>69</v>
      </c>
      <c r="B21">
        <v>10</v>
      </c>
      <c r="C21" s="15">
        <v>45661</v>
      </c>
      <c r="D21" s="15">
        <v>45926</v>
      </c>
      <c r="E21">
        <f ca="1">12*(YEAR(TODAY()) - YEAR(D21))+ (MONTH(TODAY()) - MONTH(D21))</f>
        <v>7</v>
      </c>
      <c r="F21">
        <f>IF((12 * (YEAR(D21) - YEAR(C21)) + (MONTH(D21) - MONTH(C21))) = 0, B21, B21 / (12 * (YEAR(D21) - YEAR(C21)) + (MONTH(D21) - MONTH(C21))))</f>
        <v>1.25</v>
      </c>
      <c r="G21" t="str" cm="1">
        <f t="array" aca="1" ref="G21" ca="1">IFERROR(_xlfn.IFS(B21/(MAX(1, 12*(YEAR(D21)-YEAR(C21)) + (MONTH(D21)-MONTH(C21)))) &gt;= 2, "Loyal",D21 &gt;= EDATE(TODAY(), -3), "Aktif",TRUE, "Pasif"),"Pasif")</f>
        <v>Pasif</v>
      </c>
      <c r="H21" s="11">
        <v>53350000</v>
      </c>
      <c r="I21" t="str" cm="1">
        <f t="array" ref="I21">_xlfn.IFS(H21&lt;5000000, "Bronze",H21&lt;10000000, "Silver",H21&lt;20000000, "Gold", H21&gt;=20000000, "Diamond")</f>
        <v>Diamond</v>
      </c>
    </row>
    <row r="22" spans="1:9" x14ac:dyDescent="0.3">
      <c r="A22" s="17" t="s">
        <v>72</v>
      </c>
      <c r="B22">
        <v>10</v>
      </c>
      <c r="C22" s="15">
        <v>45668</v>
      </c>
      <c r="D22" s="15">
        <v>45907</v>
      </c>
      <c r="E22">
        <f ca="1">12*(YEAR(TODAY()) - YEAR(D22))+ (MONTH(TODAY()) - MONTH(D22))</f>
        <v>7</v>
      </c>
      <c r="F22">
        <f>IF((12 * (YEAR(D22) - YEAR(C22)) + (MONTH(D22) - MONTH(C22))) = 0, B22, B22 / (12 * (YEAR(D22) - YEAR(C22)) + (MONTH(D22) - MONTH(C22))))</f>
        <v>1.25</v>
      </c>
      <c r="G22" t="str" cm="1">
        <f t="array" aca="1" ref="G22" ca="1">IFERROR(_xlfn.IFS(B22/(MAX(1, 12*(YEAR(D22)-YEAR(C22)) + (MONTH(D22)-MONTH(C22)))) &gt;= 2, "Loyal",D22 &gt;= EDATE(TODAY(), -3), "Aktif",TRUE, "Pasif"),"Pasif")</f>
        <v>Pasif</v>
      </c>
      <c r="H22" s="11">
        <v>53250000</v>
      </c>
      <c r="I22" t="str" cm="1">
        <f t="array" ref="I22">_xlfn.IFS(H22&lt;5000000, "Bronze",H22&lt;10000000, "Silver",H22&lt;20000000, "Gold", H22&gt;=20000000, "Diamond")</f>
        <v>Diamond</v>
      </c>
    </row>
    <row r="23" spans="1:9" x14ac:dyDescent="0.3">
      <c r="A23" s="17" t="s">
        <v>97</v>
      </c>
      <c r="B23">
        <v>12</v>
      </c>
      <c r="C23" s="15">
        <v>45692</v>
      </c>
      <c r="D23" s="15">
        <v>45902</v>
      </c>
      <c r="E23">
        <f ca="1">12*(YEAR(TODAY()) - YEAR(D23))+ (MONTH(TODAY()) - MONTH(D23))</f>
        <v>7</v>
      </c>
      <c r="F23">
        <f>IF((12 * (YEAR(D23) - YEAR(C23)) + (MONTH(D23) - MONTH(C23))) = 0, B23, B23 / (12 * (YEAR(D23) - YEAR(C23)) + (MONTH(D23) - MONTH(C23))))</f>
        <v>1.7142857142857142</v>
      </c>
      <c r="G23" t="str" cm="1">
        <f t="array" aca="1" ref="G23" ca="1">IFERROR(_xlfn.IFS(B23/(MAX(1, 12*(YEAR(D23)-YEAR(C23)) + (MONTH(D23)-MONTH(C23)))) &gt;= 2, "Loyal",D23 &gt;= EDATE(TODAY(), -3), "Aktif",TRUE, "Pasif"),"Pasif")</f>
        <v>Pasif</v>
      </c>
      <c r="H23" s="11">
        <v>52700000</v>
      </c>
      <c r="I23" t="str" cm="1">
        <f t="array" ref="I23">_xlfn.IFS(H23&lt;5000000, "Bronze",H23&lt;10000000, "Silver",H23&lt;20000000, "Gold", H23&gt;=20000000, "Diamond")</f>
        <v>Diamond</v>
      </c>
    </row>
    <row r="24" spans="1:9" x14ac:dyDescent="0.3">
      <c r="A24" s="17" t="s">
        <v>90</v>
      </c>
      <c r="B24">
        <v>9</v>
      </c>
      <c r="C24" s="15">
        <v>45678</v>
      </c>
      <c r="D24" s="15">
        <v>45896</v>
      </c>
      <c r="E24">
        <f ca="1">12*(YEAR(TODAY()) - YEAR(D24))+ (MONTH(TODAY()) - MONTH(D24))</f>
        <v>8</v>
      </c>
      <c r="F24">
        <f>IF((12 * (YEAR(D24) - YEAR(C24)) + (MONTH(D24) - MONTH(C24))) = 0, B24, B24 / (12 * (YEAR(D24) - YEAR(C24)) + (MONTH(D24) - MONTH(C24))))</f>
        <v>1.2857142857142858</v>
      </c>
      <c r="G24" t="str" cm="1">
        <f t="array" aca="1" ref="G24" ca="1">IFERROR(_xlfn.IFS(B24/(MAX(1, 12*(YEAR(D24)-YEAR(C24)) + (MONTH(D24)-MONTH(C24)))) &gt;= 2, "Loyal",D24 &gt;= EDATE(TODAY(), -3), "Aktif",TRUE, "Pasif"),"Pasif")</f>
        <v>Pasif</v>
      </c>
      <c r="H24" s="11">
        <v>52300000</v>
      </c>
      <c r="I24" t="str" cm="1">
        <f t="array" ref="I24">_xlfn.IFS(H24&lt;5000000, "Bronze",H24&lt;10000000, "Silver",H24&lt;20000000, "Gold", H24&gt;=20000000, "Diamond")</f>
        <v>Diamond</v>
      </c>
    </row>
    <row r="25" spans="1:9" x14ac:dyDescent="0.3">
      <c r="A25" s="17" t="s">
        <v>88</v>
      </c>
      <c r="B25">
        <v>10</v>
      </c>
      <c r="C25" s="15">
        <v>45669</v>
      </c>
      <c r="D25" s="15">
        <v>45917</v>
      </c>
      <c r="E25">
        <f ca="1">12*(YEAR(TODAY()) - YEAR(D25))+ (MONTH(TODAY()) - MONTH(D25))</f>
        <v>7</v>
      </c>
      <c r="F25">
        <f>IF((12 * (YEAR(D25) - YEAR(C25)) + (MONTH(D25) - MONTH(C25))) = 0, B25, B25 / (12 * (YEAR(D25) - YEAR(C25)) + (MONTH(D25) - MONTH(C25))))</f>
        <v>1.25</v>
      </c>
      <c r="G25" t="str" cm="1">
        <f t="array" aca="1" ref="G25" ca="1">IFERROR(_xlfn.IFS(B25/(MAX(1, 12*(YEAR(D25)-YEAR(C25)) + (MONTH(D25)-MONTH(C25)))) &gt;= 2, "Loyal",D25 &gt;= EDATE(TODAY(), -3), "Aktif",TRUE, "Pasif"),"Pasif")</f>
        <v>Pasif</v>
      </c>
      <c r="H25" s="11">
        <v>51750000</v>
      </c>
      <c r="I25" t="str" cm="1">
        <f t="array" ref="I25">_xlfn.IFS(H25&lt;5000000, "Bronze",H25&lt;10000000, "Silver",H25&lt;20000000, "Gold", H25&gt;=20000000, "Diamond")</f>
        <v>Diamond</v>
      </c>
    </row>
    <row r="26" spans="1:9" x14ac:dyDescent="0.3">
      <c r="A26" s="17" t="s">
        <v>55</v>
      </c>
      <c r="B26">
        <v>11</v>
      </c>
      <c r="C26" s="15">
        <v>45684</v>
      </c>
      <c r="D26" s="15">
        <v>45911</v>
      </c>
      <c r="E26">
        <f ca="1">12*(YEAR(TODAY()) - YEAR(D26))+ (MONTH(TODAY()) - MONTH(D26))</f>
        <v>7</v>
      </c>
      <c r="F26">
        <f>IF((12 * (YEAR(D26) - YEAR(C26)) + (MONTH(D26) - MONTH(C26))) = 0, B26, B26 / (12 * (YEAR(D26) - YEAR(C26)) + (MONTH(D26) - MONTH(C26))))</f>
        <v>1.375</v>
      </c>
      <c r="G26" t="str" cm="1">
        <f t="array" aca="1" ref="G26" ca="1">IFERROR(_xlfn.IFS(B26/(MAX(1, 12*(YEAR(D26)-YEAR(C26)) + (MONTH(D26)-MONTH(C26)))) &gt;= 2, "Loyal",D26 &gt;= EDATE(TODAY(), -3), "Aktif",TRUE, "Pasif"),"Pasif")</f>
        <v>Pasif</v>
      </c>
      <c r="H26" s="11">
        <v>50950000</v>
      </c>
      <c r="I26" t="str" cm="1">
        <f t="array" ref="I26">_xlfn.IFS(H26&lt;5000000, "Bronze",H26&lt;10000000, "Silver",H26&lt;20000000, "Gold", H26&gt;=20000000, "Diamond")</f>
        <v>Diamond</v>
      </c>
    </row>
    <row r="27" spans="1:9" x14ac:dyDescent="0.3">
      <c r="A27" s="17" t="s">
        <v>39</v>
      </c>
      <c r="B27">
        <v>9</v>
      </c>
      <c r="C27" s="15">
        <v>45668</v>
      </c>
      <c r="D27" s="15">
        <v>45932</v>
      </c>
      <c r="E27">
        <f ca="1">12*(YEAR(TODAY()) - YEAR(D27))+ (MONTH(TODAY()) - MONTH(D27))</f>
        <v>6</v>
      </c>
      <c r="F27">
        <f>IF((12 * (YEAR(D27) - YEAR(C27)) + (MONTH(D27) - MONTH(C27))) = 0, B27, B27 / (12 * (YEAR(D27) - YEAR(C27)) + (MONTH(D27) - MONTH(C27))))</f>
        <v>1</v>
      </c>
      <c r="G27" t="str" cm="1">
        <f t="array" aca="1" ref="G27" ca="1">IFERROR(_xlfn.IFS(B27/(MAX(1, 12*(YEAR(D27)-YEAR(C27)) + (MONTH(D27)-MONTH(C27)))) &gt;= 2, "Loyal",D27 &gt;= EDATE(TODAY(), -3), "Aktif",TRUE, "Pasif"),"Pasif")</f>
        <v>Pasif</v>
      </c>
      <c r="H27" s="11">
        <v>50750000</v>
      </c>
      <c r="I27" t="str" cm="1">
        <f t="array" ref="I27">_xlfn.IFS(H27&lt;5000000, "Bronze",H27&lt;10000000, "Silver",H27&lt;20000000, "Gold", H27&gt;=20000000, "Diamond")</f>
        <v>Diamond</v>
      </c>
    </row>
    <row r="28" spans="1:9" x14ac:dyDescent="0.3">
      <c r="A28" s="17" t="s">
        <v>103</v>
      </c>
      <c r="B28">
        <v>11</v>
      </c>
      <c r="C28" s="15">
        <v>45685</v>
      </c>
      <c r="D28" s="15">
        <v>45886</v>
      </c>
      <c r="E28">
        <f ca="1">12*(YEAR(TODAY()) - YEAR(D28))+ (MONTH(TODAY()) - MONTH(D28))</f>
        <v>8</v>
      </c>
      <c r="F28">
        <f>IF((12 * (YEAR(D28) - YEAR(C28)) + (MONTH(D28) - MONTH(C28))) = 0, B28, B28 / (12 * (YEAR(D28) - YEAR(C28)) + (MONTH(D28) - MONTH(C28))))</f>
        <v>1.5714285714285714</v>
      </c>
      <c r="G28" t="str" cm="1">
        <f t="array" aca="1" ref="G28" ca="1">IFERROR(_xlfn.IFS(B28/(MAX(1, 12*(YEAR(D28)-YEAR(C28)) + (MONTH(D28)-MONTH(C28)))) &gt;= 2, "Loyal",D28 &gt;= EDATE(TODAY(), -3), "Aktif",TRUE, "Pasif"),"Pasif")</f>
        <v>Pasif</v>
      </c>
      <c r="H28" s="11">
        <v>50550000</v>
      </c>
      <c r="I28" t="str" cm="1">
        <f t="array" ref="I28">_xlfn.IFS(H28&lt;5000000, "Bronze",H28&lt;10000000, "Silver",H28&lt;20000000, "Gold", H28&gt;=20000000, "Diamond")</f>
        <v>Diamond</v>
      </c>
    </row>
    <row r="29" spans="1:9" x14ac:dyDescent="0.3">
      <c r="A29" s="17" t="s">
        <v>86</v>
      </c>
      <c r="B29">
        <v>10</v>
      </c>
      <c r="C29" s="15">
        <v>45676</v>
      </c>
      <c r="D29" s="15">
        <v>45910</v>
      </c>
      <c r="E29">
        <f ca="1">12*(YEAR(TODAY()) - YEAR(D29))+ (MONTH(TODAY()) - MONTH(D29))</f>
        <v>7</v>
      </c>
      <c r="F29">
        <f>IF((12 * (YEAR(D29) - YEAR(C29)) + (MONTH(D29) - MONTH(C29))) = 0, B29, B29 / (12 * (YEAR(D29) - YEAR(C29)) + (MONTH(D29) - MONTH(C29))))</f>
        <v>1.25</v>
      </c>
      <c r="G29" t="str" cm="1">
        <f t="array" aca="1" ref="G29" ca="1">IFERROR(_xlfn.IFS(B29/(MAX(1, 12*(YEAR(D29)-YEAR(C29)) + (MONTH(D29)-MONTH(C29)))) &gt;= 2, "Loyal",D29 &gt;= EDATE(TODAY(), -3), "Aktif",TRUE, "Pasif"),"Pasif")</f>
        <v>Pasif</v>
      </c>
      <c r="H29" s="11">
        <v>50500000</v>
      </c>
      <c r="I29" t="str" cm="1">
        <f t="array" ref="I29">_xlfn.IFS(H29&lt;5000000, "Bronze",H29&lt;10000000, "Silver",H29&lt;20000000, "Gold", H29&gt;=20000000, "Diamond")</f>
        <v>Diamond</v>
      </c>
    </row>
    <row r="30" spans="1:9" x14ac:dyDescent="0.3">
      <c r="A30" s="17" t="s">
        <v>56</v>
      </c>
      <c r="B30">
        <v>17</v>
      </c>
      <c r="C30" s="15">
        <v>45668</v>
      </c>
      <c r="D30" s="15">
        <v>45921</v>
      </c>
      <c r="E30">
        <f ca="1">12*(YEAR(TODAY()) - YEAR(D30))+ (MONTH(TODAY()) - MONTH(D30))</f>
        <v>7</v>
      </c>
      <c r="F30">
        <f>IF((12 * (YEAR(D30) - YEAR(C30)) + (MONTH(D30) - MONTH(C30))) = 0, B30, B30 / (12 * (YEAR(D30) - YEAR(C30)) + (MONTH(D30) - MONTH(C30))))</f>
        <v>2.125</v>
      </c>
      <c r="G30" t="str" cm="1">
        <f t="array" aca="1" ref="G30" ca="1">IFERROR(_xlfn.IFS(B30/(MAX(1, 12*(YEAR(D30)-YEAR(C30)) + (MONTH(D30)-MONTH(C30)))) &gt;= 2, "Loyal",D30 &gt;= EDATE(TODAY(), -3), "Aktif",TRUE, "Pasif"),"Pasif")</f>
        <v>Loyal</v>
      </c>
      <c r="H30" s="11">
        <v>49000000</v>
      </c>
      <c r="I30" t="str" cm="1">
        <f t="array" ref="I30">_xlfn.IFS(H30&lt;5000000, "Bronze",H30&lt;10000000, "Silver",H30&lt;20000000, "Gold", H30&gt;=20000000, "Diamond")</f>
        <v>Diamond</v>
      </c>
    </row>
    <row r="31" spans="1:9" x14ac:dyDescent="0.3">
      <c r="A31" s="17" t="s">
        <v>46</v>
      </c>
      <c r="B31">
        <v>13</v>
      </c>
      <c r="C31" s="15">
        <v>45667</v>
      </c>
      <c r="D31" s="15">
        <v>45928</v>
      </c>
      <c r="E31">
        <f ca="1">12*(YEAR(TODAY()) - YEAR(D31))+ (MONTH(TODAY()) - MONTH(D31))</f>
        <v>7</v>
      </c>
      <c r="F31">
        <f>IF((12 * (YEAR(D31) - YEAR(C31)) + (MONTH(D31) - MONTH(C31))) = 0, B31, B31 / (12 * (YEAR(D31) - YEAR(C31)) + (MONTH(D31) - MONTH(C31))))</f>
        <v>1.625</v>
      </c>
      <c r="G31" t="str" cm="1">
        <f t="array" aca="1" ref="G31" ca="1">IFERROR(_xlfn.IFS(B31/(MAX(1, 12*(YEAR(D31)-YEAR(C31)) + (MONTH(D31)-MONTH(C31)))) &gt;= 2, "Loyal",D31 &gt;= EDATE(TODAY(), -3), "Aktif",TRUE, "Pasif"),"Pasif")</f>
        <v>Pasif</v>
      </c>
      <c r="H31" s="11">
        <v>48550000</v>
      </c>
      <c r="I31" t="str" cm="1">
        <f t="array" ref="I31">_xlfn.IFS(H31&lt;5000000, "Bronze",H31&lt;10000000, "Silver",H31&lt;20000000, "Gold", H31&gt;=20000000, "Diamond")</f>
        <v>Diamond</v>
      </c>
    </row>
    <row r="32" spans="1:9" x14ac:dyDescent="0.3">
      <c r="A32" s="17" t="s">
        <v>16</v>
      </c>
      <c r="B32">
        <v>12</v>
      </c>
      <c r="C32" s="15">
        <v>45665</v>
      </c>
      <c r="D32" s="15">
        <v>45885</v>
      </c>
      <c r="E32">
        <f ca="1">12*(YEAR(TODAY()) - YEAR(D32))+ (MONTH(TODAY()) - MONTH(D32))</f>
        <v>8</v>
      </c>
      <c r="F32">
        <f>IF((12 * (YEAR(D32) - YEAR(C32)) + (MONTH(D32) - MONTH(C32))) = 0, B32, B32 / (12 * (YEAR(D32) - YEAR(C32)) + (MONTH(D32) - MONTH(C32))))</f>
        <v>1.7142857142857142</v>
      </c>
      <c r="G32" t="str" cm="1">
        <f t="array" aca="1" ref="G32" ca="1">IFERROR(_xlfn.IFS(B32/(MAX(1, 12*(YEAR(D32)-YEAR(C32)) + (MONTH(D32)-MONTH(C32)))) &gt;= 2, "Loyal",D32 &gt;= EDATE(TODAY(), -3), "Aktif",TRUE, "Pasif"),"Pasif")</f>
        <v>Pasif</v>
      </c>
      <c r="H32" s="11">
        <v>48350000</v>
      </c>
      <c r="I32" t="str" cm="1">
        <f t="array" ref="I32">_xlfn.IFS(H32&lt;5000000, "Bronze",H32&lt;10000000, "Silver",H32&lt;20000000, "Gold", H32&gt;=20000000, "Diamond")</f>
        <v>Diamond</v>
      </c>
    </row>
    <row r="33" spans="1:9" x14ac:dyDescent="0.3">
      <c r="A33" s="17" t="s">
        <v>6</v>
      </c>
      <c r="B33">
        <v>10</v>
      </c>
      <c r="C33" s="15">
        <v>45664</v>
      </c>
      <c r="D33" s="15">
        <v>45889</v>
      </c>
      <c r="E33">
        <f ca="1">12*(YEAR(TODAY()) - YEAR(D33))+ (MONTH(TODAY()) - MONTH(D33))</f>
        <v>8</v>
      </c>
      <c r="F33">
        <f>IF((12 * (YEAR(D33) - YEAR(C33)) + (MONTH(D33) - MONTH(C33))) = 0, B33, B33 / (12 * (YEAR(D33) - YEAR(C33)) + (MONTH(D33) - MONTH(C33))))</f>
        <v>1.4285714285714286</v>
      </c>
      <c r="G33" t="str" cm="1">
        <f t="array" aca="1" ref="G33" ca="1">IFERROR(_xlfn.IFS(B33/(MAX(1, 12*(YEAR(D33)-YEAR(C33)) + (MONTH(D33)-MONTH(C33)))) &gt;= 2, "Loyal",D33 &gt;= EDATE(TODAY(), -3), "Aktif",TRUE, "Pasif"),"Pasif")</f>
        <v>Pasif</v>
      </c>
      <c r="H33" s="11">
        <v>47600000</v>
      </c>
      <c r="I33" t="str" cm="1">
        <f t="array" ref="I33">_xlfn.IFS(H33&lt;5000000, "Bronze",H33&lt;10000000, "Silver",H33&lt;20000000, "Gold", H33&gt;=20000000, "Diamond")</f>
        <v>Diamond</v>
      </c>
    </row>
    <row r="34" spans="1:9" x14ac:dyDescent="0.3">
      <c r="A34" s="17" t="s">
        <v>83</v>
      </c>
      <c r="B34">
        <v>7</v>
      </c>
      <c r="C34" s="15">
        <v>45710</v>
      </c>
      <c r="D34" s="15">
        <v>45901</v>
      </c>
      <c r="E34">
        <f ca="1">12*(YEAR(TODAY()) - YEAR(D34))+ (MONTH(TODAY()) - MONTH(D34))</f>
        <v>7</v>
      </c>
      <c r="F34">
        <f>IF((12 * (YEAR(D34) - YEAR(C34)) + (MONTH(D34) - MONTH(C34))) = 0, B34, B34 / (12 * (YEAR(D34) - YEAR(C34)) + (MONTH(D34) - MONTH(C34))))</f>
        <v>1</v>
      </c>
      <c r="G34" t="str" cm="1">
        <f t="array" aca="1" ref="G34" ca="1">IFERROR(_xlfn.IFS(B34/(MAX(1, 12*(YEAR(D34)-YEAR(C34)) + (MONTH(D34)-MONTH(C34)))) &gt;= 2, "Loyal",D34 &gt;= EDATE(TODAY(), -3), "Aktif",TRUE, "Pasif"),"Pasif")</f>
        <v>Pasif</v>
      </c>
      <c r="H34" s="11">
        <v>47400000</v>
      </c>
      <c r="I34" t="str" cm="1">
        <f t="array" ref="I34">_xlfn.IFS(H34&lt;5000000, "Bronze",H34&lt;10000000, "Silver",H34&lt;20000000, "Gold", H34&gt;=20000000, "Diamond")</f>
        <v>Diamond</v>
      </c>
    </row>
    <row r="35" spans="1:9" x14ac:dyDescent="0.3">
      <c r="A35" s="17" t="s">
        <v>77</v>
      </c>
      <c r="B35">
        <v>8</v>
      </c>
      <c r="C35" s="15">
        <v>45705</v>
      </c>
      <c r="D35" s="15">
        <v>45933</v>
      </c>
      <c r="E35">
        <f ca="1">12*(YEAR(TODAY()) - YEAR(D35))+ (MONTH(TODAY()) - MONTH(D35))</f>
        <v>6</v>
      </c>
      <c r="F35">
        <f>IF((12 * (YEAR(D35) - YEAR(C35)) + (MONTH(D35) - MONTH(C35))) = 0, B35, B35 / (12 * (YEAR(D35) - YEAR(C35)) + (MONTH(D35) - MONTH(C35))))</f>
        <v>1</v>
      </c>
      <c r="G35" t="str" cm="1">
        <f t="array" aca="1" ref="G35" ca="1">IFERROR(_xlfn.IFS(B35/(MAX(1, 12*(YEAR(D35)-YEAR(C35)) + (MONTH(D35)-MONTH(C35)))) &gt;= 2, "Loyal",D35 &gt;= EDATE(TODAY(), -3), "Aktif",TRUE, "Pasif"),"Pasif")</f>
        <v>Pasif</v>
      </c>
      <c r="H35" s="11">
        <v>47350000</v>
      </c>
      <c r="I35" t="str" cm="1">
        <f t="array" ref="I35">_xlfn.IFS(H35&lt;5000000, "Bronze",H35&lt;10000000, "Silver",H35&lt;20000000, "Gold", H35&gt;=20000000, "Diamond")</f>
        <v>Diamond</v>
      </c>
    </row>
    <row r="36" spans="1:9" x14ac:dyDescent="0.3">
      <c r="A36" s="17" t="s">
        <v>13</v>
      </c>
      <c r="B36">
        <v>8</v>
      </c>
      <c r="C36" s="15">
        <v>45660</v>
      </c>
      <c r="D36" s="15">
        <v>45889</v>
      </c>
      <c r="E36">
        <f ca="1">12*(YEAR(TODAY()) - YEAR(D36))+ (MONTH(TODAY()) - MONTH(D36))</f>
        <v>8</v>
      </c>
      <c r="F36">
        <f>IF((12 * (YEAR(D36) - YEAR(C36)) + (MONTH(D36) - MONTH(C36))) = 0, B36, B36 / (12 * (YEAR(D36) - YEAR(C36)) + (MONTH(D36) - MONTH(C36))))</f>
        <v>1.1428571428571428</v>
      </c>
      <c r="G36" t="str" cm="1">
        <f t="array" aca="1" ref="G36" ca="1">IFERROR(_xlfn.IFS(B36/(MAX(1, 12*(YEAR(D36)-YEAR(C36)) + (MONTH(D36)-MONTH(C36)))) &gt;= 2, "Loyal",D36 &gt;= EDATE(TODAY(), -3), "Aktif",TRUE, "Pasif"),"Pasif")</f>
        <v>Pasif</v>
      </c>
      <c r="H36" s="11">
        <v>46550000</v>
      </c>
      <c r="I36" t="str" cm="1">
        <f t="array" ref="I36">_xlfn.IFS(H36&lt;5000000, "Bronze",H36&lt;10000000, "Silver",H36&lt;20000000, "Gold", H36&gt;=20000000, "Diamond")</f>
        <v>Diamond</v>
      </c>
    </row>
    <row r="37" spans="1:9" x14ac:dyDescent="0.3">
      <c r="A37" s="17" t="s">
        <v>26</v>
      </c>
      <c r="B37">
        <v>10</v>
      </c>
      <c r="C37" s="15">
        <v>45693</v>
      </c>
      <c r="D37" s="15">
        <v>45931</v>
      </c>
      <c r="E37">
        <f ca="1">12*(YEAR(TODAY()) - YEAR(D37))+ (MONTH(TODAY()) - MONTH(D37))</f>
        <v>6</v>
      </c>
      <c r="F37">
        <f>IF((12 * (YEAR(D37) - YEAR(C37)) + (MONTH(D37) - MONTH(C37))) = 0, B37, B37 / (12 * (YEAR(D37) - YEAR(C37)) + (MONTH(D37) - MONTH(C37))))</f>
        <v>1.25</v>
      </c>
      <c r="G37" t="str" cm="1">
        <f t="array" aca="1" ref="G37" ca="1">IFERROR(_xlfn.IFS(B37/(MAX(1, 12*(YEAR(D37)-YEAR(C37)) + (MONTH(D37)-MONTH(C37)))) &gt;= 2, "Loyal",D37 &gt;= EDATE(TODAY(), -3), "Aktif",TRUE, "Pasif"),"Pasif")</f>
        <v>Pasif</v>
      </c>
      <c r="H37" s="11">
        <v>46450000</v>
      </c>
      <c r="I37" t="str" cm="1">
        <f t="array" ref="I37">_xlfn.IFS(H37&lt;5000000, "Bronze",H37&lt;10000000, "Silver",H37&lt;20000000, "Gold", H37&gt;=20000000, "Diamond")</f>
        <v>Diamond</v>
      </c>
    </row>
    <row r="38" spans="1:9" x14ac:dyDescent="0.3">
      <c r="A38" s="17" t="s">
        <v>51</v>
      </c>
      <c r="B38">
        <v>10</v>
      </c>
      <c r="C38" s="15">
        <v>45660</v>
      </c>
      <c r="D38" s="15">
        <v>45915</v>
      </c>
      <c r="E38">
        <f ca="1">12*(YEAR(TODAY()) - YEAR(D38))+ (MONTH(TODAY()) - MONTH(D38))</f>
        <v>7</v>
      </c>
      <c r="F38">
        <f>IF((12 * (YEAR(D38) - YEAR(C38)) + (MONTH(D38) - MONTH(C38))) = 0, B38, B38 / (12 * (YEAR(D38) - YEAR(C38)) + (MONTH(D38) - MONTH(C38))))</f>
        <v>1.25</v>
      </c>
      <c r="G38" t="str" cm="1">
        <f t="array" aca="1" ref="G38" ca="1">IFERROR(_xlfn.IFS(B38/(MAX(1, 12*(YEAR(D38)-YEAR(C38)) + (MONTH(D38)-MONTH(C38)))) &gt;= 2, "Loyal",D38 &gt;= EDATE(TODAY(), -3), "Aktif",TRUE, "Pasif"),"Pasif")</f>
        <v>Pasif</v>
      </c>
      <c r="H38" s="11">
        <v>46450000</v>
      </c>
      <c r="I38" t="str" cm="1">
        <f t="array" ref="I38">_xlfn.IFS(H38&lt;5000000, "Bronze",H38&lt;10000000, "Silver",H38&lt;20000000, "Gold", H38&gt;=20000000, "Diamond")</f>
        <v>Diamond</v>
      </c>
    </row>
    <row r="39" spans="1:9" x14ac:dyDescent="0.3">
      <c r="A39" s="17" t="s">
        <v>40</v>
      </c>
      <c r="B39">
        <v>13</v>
      </c>
      <c r="C39" s="15">
        <v>45670</v>
      </c>
      <c r="D39" s="15">
        <v>45914</v>
      </c>
      <c r="E39">
        <f ca="1">12*(YEAR(TODAY()) - YEAR(D39))+ (MONTH(TODAY()) - MONTH(D39))</f>
        <v>7</v>
      </c>
      <c r="F39">
        <f>IF((12 * (YEAR(D39) - YEAR(C39)) + (MONTH(D39) - MONTH(C39))) = 0, B39, B39 / (12 * (YEAR(D39) - YEAR(C39)) + (MONTH(D39) - MONTH(C39))))</f>
        <v>1.625</v>
      </c>
      <c r="G39" t="str" cm="1">
        <f t="array" aca="1" ref="G39" ca="1">IFERROR(_xlfn.IFS(B39/(MAX(1, 12*(YEAR(D39)-YEAR(C39)) + (MONTH(D39)-MONTH(C39)))) &gt;= 2, "Loyal",D39 &gt;= EDATE(TODAY(), -3), "Aktif",TRUE, "Pasif"),"Pasif")</f>
        <v>Pasif</v>
      </c>
      <c r="H39" s="11">
        <v>45950000</v>
      </c>
      <c r="I39" t="str" cm="1">
        <f t="array" ref="I39">_xlfn.IFS(H39&lt;5000000, "Bronze",H39&lt;10000000, "Silver",H39&lt;20000000, "Gold", H39&gt;=20000000, "Diamond")</f>
        <v>Diamond</v>
      </c>
    </row>
    <row r="40" spans="1:9" x14ac:dyDescent="0.3">
      <c r="A40" s="17" t="s">
        <v>47</v>
      </c>
      <c r="B40">
        <v>12</v>
      </c>
      <c r="C40" s="15">
        <v>45672</v>
      </c>
      <c r="D40" s="15">
        <v>45932</v>
      </c>
      <c r="E40">
        <f ca="1">12*(YEAR(TODAY()) - YEAR(D40))+ (MONTH(TODAY()) - MONTH(D40))</f>
        <v>6</v>
      </c>
      <c r="F40">
        <f>IF((12 * (YEAR(D40) - YEAR(C40)) + (MONTH(D40) - MONTH(C40))) = 0, B40, B40 / (12 * (YEAR(D40) - YEAR(C40)) + (MONTH(D40) - MONTH(C40))))</f>
        <v>1.3333333333333333</v>
      </c>
      <c r="G40" t="str" cm="1">
        <f t="array" aca="1" ref="G40" ca="1">IFERROR(_xlfn.IFS(B40/(MAX(1, 12*(YEAR(D40)-YEAR(C40)) + (MONTH(D40)-MONTH(C40)))) &gt;= 2, "Loyal",D40 &gt;= EDATE(TODAY(), -3), "Aktif",TRUE, "Pasif"),"Pasif")</f>
        <v>Pasif</v>
      </c>
      <c r="H40" s="11">
        <v>45000000</v>
      </c>
      <c r="I40" t="str" cm="1">
        <f t="array" ref="I40">_xlfn.IFS(H40&lt;5000000, "Bronze",H40&lt;10000000, "Silver",H40&lt;20000000, "Gold", H40&gt;=20000000, "Diamond")</f>
        <v>Diamond</v>
      </c>
    </row>
    <row r="41" spans="1:9" x14ac:dyDescent="0.3">
      <c r="A41" s="17" t="s">
        <v>75</v>
      </c>
      <c r="B41">
        <v>9</v>
      </c>
      <c r="C41" s="15">
        <v>45684</v>
      </c>
      <c r="D41" s="15">
        <v>45926</v>
      </c>
      <c r="E41">
        <f ca="1">12*(YEAR(TODAY()) - YEAR(D41))+ (MONTH(TODAY()) - MONTH(D41))</f>
        <v>7</v>
      </c>
      <c r="F41">
        <f>IF((12 * (YEAR(D41) - YEAR(C41)) + (MONTH(D41) - MONTH(C41))) = 0, B41, B41 / (12 * (YEAR(D41) - YEAR(C41)) + (MONTH(D41) - MONTH(C41))))</f>
        <v>1.125</v>
      </c>
      <c r="G41" t="str" cm="1">
        <f t="array" aca="1" ref="G41" ca="1">IFERROR(_xlfn.IFS(B41/(MAX(1, 12*(YEAR(D41)-YEAR(C41)) + (MONTH(D41)-MONTH(C41)))) &gt;= 2, "Loyal",D41 &gt;= EDATE(TODAY(), -3), "Aktif",TRUE, "Pasif"),"Pasif")</f>
        <v>Pasif</v>
      </c>
      <c r="H41" s="11">
        <v>44400000</v>
      </c>
      <c r="I41" t="str" cm="1">
        <f t="array" ref="I41">_xlfn.IFS(H41&lt;5000000, "Bronze",H41&lt;10000000, "Silver",H41&lt;20000000, "Gold", H41&gt;=20000000, "Diamond")</f>
        <v>Diamond</v>
      </c>
    </row>
    <row r="42" spans="1:9" x14ac:dyDescent="0.3">
      <c r="A42" s="17" t="s">
        <v>45</v>
      </c>
      <c r="B42">
        <v>10</v>
      </c>
      <c r="C42" s="15">
        <v>45661</v>
      </c>
      <c r="D42" s="15">
        <v>45923</v>
      </c>
      <c r="E42">
        <f ca="1">12*(YEAR(TODAY()) - YEAR(D42))+ (MONTH(TODAY()) - MONTH(D42))</f>
        <v>7</v>
      </c>
      <c r="F42">
        <f>IF((12 * (YEAR(D42) - YEAR(C42)) + (MONTH(D42) - MONTH(C42))) = 0, B42, B42 / (12 * (YEAR(D42) - YEAR(C42)) + (MONTH(D42) - MONTH(C42))))</f>
        <v>1.25</v>
      </c>
      <c r="G42" t="str" cm="1">
        <f t="array" aca="1" ref="G42" ca="1">IFERROR(_xlfn.IFS(B42/(MAX(1, 12*(YEAR(D42)-YEAR(C42)) + (MONTH(D42)-MONTH(C42)))) &gt;= 2, "Loyal",D42 &gt;= EDATE(TODAY(), -3), "Aktif",TRUE, "Pasif"),"Pasif")</f>
        <v>Pasif</v>
      </c>
      <c r="H42" s="11">
        <v>42850000</v>
      </c>
      <c r="I42" t="str" cm="1">
        <f t="array" ref="I42">_xlfn.IFS(H42&lt;5000000, "Bronze",H42&lt;10000000, "Silver",H42&lt;20000000, "Gold", H42&gt;=20000000, "Diamond")</f>
        <v>Diamond</v>
      </c>
    </row>
    <row r="43" spans="1:9" x14ac:dyDescent="0.3">
      <c r="A43" s="17" t="s">
        <v>42</v>
      </c>
      <c r="B43">
        <v>12</v>
      </c>
      <c r="C43" s="15">
        <v>45677</v>
      </c>
      <c r="D43" s="15">
        <v>45930</v>
      </c>
      <c r="E43">
        <f ca="1">12*(YEAR(TODAY()) - YEAR(D43))+ (MONTH(TODAY()) - MONTH(D43))</f>
        <v>7</v>
      </c>
      <c r="F43">
        <f>IF((12 * (YEAR(D43) - YEAR(C43)) + (MONTH(D43) - MONTH(C43))) = 0, B43, B43 / (12 * (YEAR(D43) - YEAR(C43)) + (MONTH(D43) - MONTH(C43))))</f>
        <v>1.5</v>
      </c>
      <c r="G43" t="str" cm="1">
        <f t="array" aca="1" ref="G43" ca="1">IFERROR(_xlfn.IFS(B43/(MAX(1, 12*(YEAR(D43)-YEAR(C43)) + (MONTH(D43)-MONTH(C43)))) &gt;= 2, "Loyal",D43 &gt;= EDATE(TODAY(), -3), "Aktif",TRUE, "Pasif"),"Pasif")</f>
        <v>Pasif</v>
      </c>
      <c r="H43" s="11">
        <v>42100000</v>
      </c>
      <c r="I43" t="str" cm="1">
        <f t="array" ref="I43">_xlfn.IFS(H43&lt;5000000, "Bronze",H43&lt;10000000, "Silver",H43&lt;20000000, "Gold", H43&gt;=20000000, "Diamond")</f>
        <v>Diamond</v>
      </c>
    </row>
    <row r="44" spans="1:9" x14ac:dyDescent="0.3">
      <c r="A44" s="17" t="s">
        <v>5</v>
      </c>
      <c r="B44">
        <v>8</v>
      </c>
      <c r="C44" s="15">
        <v>45665</v>
      </c>
      <c r="D44" s="15">
        <v>45887</v>
      </c>
      <c r="E44">
        <f ca="1">12*(YEAR(TODAY()) - YEAR(D44))+ (MONTH(TODAY()) - MONTH(D44))</f>
        <v>8</v>
      </c>
      <c r="F44">
        <f>IF((12 * (YEAR(D44) - YEAR(C44)) + (MONTH(D44) - MONTH(C44))) = 0, B44, B44 / (12 * (YEAR(D44) - YEAR(C44)) + (MONTH(D44) - MONTH(C44))))</f>
        <v>1.1428571428571428</v>
      </c>
      <c r="G44" t="str" cm="1">
        <f t="array" aca="1" ref="G44" ca="1">IFERROR(_xlfn.IFS(B44/(MAX(1, 12*(YEAR(D44)-YEAR(C44)) + (MONTH(D44)-MONTH(C44)))) &gt;= 2, "Loyal",D44 &gt;= EDATE(TODAY(), -3), "Aktif",TRUE, "Pasif"),"Pasif")</f>
        <v>Pasif</v>
      </c>
      <c r="H44" s="11">
        <v>42050000</v>
      </c>
      <c r="I44" t="str" cm="1">
        <f t="array" ref="I44">_xlfn.IFS(H44&lt;5000000, "Bronze",H44&lt;10000000, "Silver",H44&lt;20000000, "Gold", H44&gt;=20000000, "Diamond")</f>
        <v>Diamond</v>
      </c>
    </row>
    <row r="45" spans="1:9" x14ac:dyDescent="0.3">
      <c r="A45" s="17" t="s">
        <v>25</v>
      </c>
      <c r="B45">
        <v>8</v>
      </c>
      <c r="C45" s="15">
        <v>45675</v>
      </c>
      <c r="D45" s="15">
        <v>45926</v>
      </c>
      <c r="E45">
        <f ca="1">12*(YEAR(TODAY()) - YEAR(D45))+ (MONTH(TODAY()) - MONTH(D45))</f>
        <v>7</v>
      </c>
      <c r="F45">
        <f>IF((12 * (YEAR(D45) - YEAR(C45)) + (MONTH(D45) - MONTH(C45))) = 0, B45, B45 / (12 * (YEAR(D45) - YEAR(C45)) + (MONTH(D45) - MONTH(C45))))</f>
        <v>1</v>
      </c>
      <c r="G45" t="str" cm="1">
        <f t="array" aca="1" ref="G45" ca="1">IFERROR(_xlfn.IFS(B45/(MAX(1, 12*(YEAR(D45)-YEAR(C45)) + (MONTH(D45)-MONTH(C45)))) &gt;= 2, "Loyal",D45 &gt;= EDATE(TODAY(), -3), "Aktif",TRUE, "Pasif"),"Pasif")</f>
        <v>Pasif</v>
      </c>
      <c r="H45" s="11">
        <v>41700000</v>
      </c>
      <c r="I45" t="str" cm="1">
        <f t="array" ref="I45">_xlfn.IFS(H45&lt;5000000, "Bronze",H45&lt;10000000, "Silver",H45&lt;20000000, "Gold", H45&gt;=20000000, "Diamond")</f>
        <v>Diamond</v>
      </c>
    </row>
    <row r="46" spans="1:9" x14ac:dyDescent="0.3">
      <c r="A46" s="17" t="s">
        <v>48</v>
      </c>
      <c r="B46">
        <v>12</v>
      </c>
      <c r="C46" s="15">
        <v>45694</v>
      </c>
      <c r="D46" s="15">
        <v>45892</v>
      </c>
      <c r="E46">
        <f ca="1">12*(YEAR(TODAY()) - YEAR(D46))+ (MONTH(TODAY()) - MONTH(D46))</f>
        <v>8</v>
      </c>
      <c r="F46">
        <f>IF((12 * (YEAR(D46) - YEAR(C46)) + (MONTH(D46) - MONTH(C46))) = 0, B46, B46 / (12 * (YEAR(D46) - YEAR(C46)) + (MONTH(D46) - MONTH(C46))))</f>
        <v>2</v>
      </c>
      <c r="G46" t="str" cm="1">
        <f t="array" aca="1" ref="G46" ca="1">IFERROR(_xlfn.IFS(B46/(MAX(1, 12*(YEAR(D46)-YEAR(C46)) + (MONTH(D46)-MONTH(C46)))) &gt;= 2, "Loyal",D46 &gt;= EDATE(TODAY(), -3), "Aktif",TRUE, "Pasif"),"Pasif")</f>
        <v>Loyal</v>
      </c>
      <c r="H46" s="11">
        <v>41150000</v>
      </c>
      <c r="I46" t="str" cm="1">
        <f t="array" ref="I46">_xlfn.IFS(H46&lt;5000000, "Bronze",H46&lt;10000000, "Silver",H46&lt;20000000, "Gold", H46&gt;=20000000, "Diamond")</f>
        <v>Diamond</v>
      </c>
    </row>
    <row r="47" spans="1:9" x14ac:dyDescent="0.3">
      <c r="A47" s="17" t="s">
        <v>91</v>
      </c>
      <c r="B47">
        <v>10</v>
      </c>
      <c r="C47" s="15">
        <v>45678</v>
      </c>
      <c r="D47" s="15">
        <v>45930</v>
      </c>
      <c r="E47">
        <f ca="1">12*(YEAR(TODAY()) - YEAR(D47))+ (MONTH(TODAY()) - MONTH(D47))</f>
        <v>7</v>
      </c>
      <c r="F47">
        <f>IF((12 * (YEAR(D47) - YEAR(C47)) + (MONTH(D47) - MONTH(C47))) = 0, B47, B47 / (12 * (YEAR(D47) - YEAR(C47)) + (MONTH(D47) - MONTH(C47))))</f>
        <v>1.25</v>
      </c>
      <c r="G47" t="str" cm="1">
        <f t="array" aca="1" ref="G47" ca="1">IFERROR(_xlfn.IFS(B47/(MAX(1, 12*(YEAR(D47)-YEAR(C47)) + (MONTH(D47)-MONTH(C47)))) &gt;= 2, "Loyal",D47 &gt;= EDATE(TODAY(), -3), "Aktif",TRUE, "Pasif"),"Pasif")</f>
        <v>Pasif</v>
      </c>
      <c r="H47" s="11">
        <v>40950000</v>
      </c>
      <c r="I47" t="str" cm="1">
        <f t="array" ref="I47">_xlfn.IFS(H47&lt;5000000, "Bronze",H47&lt;10000000, "Silver",H47&lt;20000000, "Gold", H47&gt;=20000000, "Diamond")</f>
        <v>Diamond</v>
      </c>
    </row>
    <row r="48" spans="1:9" x14ac:dyDescent="0.3">
      <c r="A48" s="17" t="s">
        <v>100</v>
      </c>
      <c r="B48">
        <v>5</v>
      </c>
      <c r="C48" s="15">
        <v>45755</v>
      </c>
      <c r="D48" s="15">
        <v>45818</v>
      </c>
      <c r="E48">
        <f ca="1">12*(YEAR(TODAY()) - YEAR(D48))+ (MONTH(TODAY()) - MONTH(D48))</f>
        <v>10</v>
      </c>
      <c r="F48">
        <f>IF((12 * (YEAR(D48) - YEAR(C48)) + (MONTH(D48) - MONTH(C48))) = 0, B48, B48 / (12 * (YEAR(D48) - YEAR(C48)) + (MONTH(D48) - MONTH(C48))))</f>
        <v>2.5</v>
      </c>
      <c r="G48" t="str" cm="1">
        <f t="array" aca="1" ref="G48" ca="1">IFERROR(_xlfn.IFS(B48/(MAX(1, 12*(YEAR(D48)-YEAR(C48)) + (MONTH(D48)-MONTH(C48)))) &gt;= 2, "Loyal",D48 &gt;= EDATE(TODAY(), -3), "Aktif",TRUE, "Pasif"),"Pasif")</f>
        <v>Loyal</v>
      </c>
      <c r="H48" s="11">
        <v>40900000</v>
      </c>
      <c r="I48" t="str" cm="1">
        <f t="array" ref="I48">_xlfn.IFS(H48&lt;5000000, "Bronze",H48&lt;10000000, "Silver",H48&lt;20000000, "Gold", H48&gt;=20000000, "Diamond")</f>
        <v>Diamond</v>
      </c>
    </row>
    <row r="49" spans="1:9" x14ac:dyDescent="0.3">
      <c r="A49" s="17" t="s">
        <v>65</v>
      </c>
      <c r="B49">
        <v>10</v>
      </c>
      <c r="C49" s="15">
        <v>45706</v>
      </c>
      <c r="D49" s="15">
        <v>45922</v>
      </c>
      <c r="E49">
        <f ca="1">12*(YEAR(TODAY()) - YEAR(D49))+ (MONTH(TODAY()) - MONTH(D49))</f>
        <v>7</v>
      </c>
      <c r="F49">
        <f>IF((12 * (YEAR(D49) - YEAR(C49)) + (MONTH(D49) - MONTH(C49))) = 0, B49, B49 / (12 * (YEAR(D49) - YEAR(C49)) + (MONTH(D49) - MONTH(C49))))</f>
        <v>1.4285714285714286</v>
      </c>
      <c r="G49" t="str" cm="1">
        <f t="array" aca="1" ref="G49" ca="1">IFERROR(_xlfn.IFS(B49/(MAX(1, 12*(YEAR(D49)-YEAR(C49)) + (MONTH(D49)-MONTH(C49)))) &gt;= 2, "Loyal",D49 &gt;= EDATE(TODAY(), -3), "Aktif",TRUE, "Pasif"),"Pasif")</f>
        <v>Pasif</v>
      </c>
      <c r="H49" s="11">
        <v>40750000</v>
      </c>
      <c r="I49" t="str" cm="1">
        <f t="array" ref="I49">_xlfn.IFS(H49&lt;5000000, "Bronze",H49&lt;10000000, "Silver",H49&lt;20000000, "Gold", H49&gt;=20000000, "Diamond")</f>
        <v>Diamond</v>
      </c>
    </row>
    <row r="50" spans="1:9" x14ac:dyDescent="0.3">
      <c r="A50" s="17" t="s">
        <v>50</v>
      </c>
      <c r="B50">
        <v>10</v>
      </c>
      <c r="C50" s="15">
        <v>45683</v>
      </c>
      <c r="D50" s="15">
        <v>45901</v>
      </c>
      <c r="E50">
        <f ca="1">12*(YEAR(TODAY()) - YEAR(D50))+ (MONTH(TODAY()) - MONTH(D50))</f>
        <v>7</v>
      </c>
      <c r="F50">
        <f>IF((12 * (YEAR(D50) - YEAR(C50)) + (MONTH(D50) - MONTH(C50))) = 0, B50, B50 / (12 * (YEAR(D50) - YEAR(C50)) + (MONTH(D50) - MONTH(C50))))</f>
        <v>1.25</v>
      </c>
      <c r="G50" t="str" cm="1">
        <f t="array" aca="1" ref="G50" ca="1">IFERROR(_xlfn.IFS(B50/(MAX(1, 12*(YEAR(D50)-YEAR(C50)) + (MONTH(D50)-MONTH(C50)))) &gt;= 2, "Loyal",D50 &gt;= EDATE(TODAY(), -3), "Aktif",TRUE, "Pasif"),"Pasif")</f>
        <v>Pasif</v>
      </c>
      <c r="H50" s="11">
        <v>39700000</v>
      </c>
      <c r="I50" t="str" cm="1">
        <f t="array" ref="I50">_xlfn.IFS(H50&lt;5000000, "Bronze",H50&lt;10000000, "Silver",H50&lt;20000000, "Gold", H50&gt;=20000000, "Diamond")</f>
        <v>Diamond</v>
      </c>
    </row>
    <row r="51" spans="1:9" x14ac:dyDescent="0.3">
      <c r="A51" s="17" t="s">
        <v>24</v>
      </c>
      <c r="B51">
        <v>9</v>
      </c>
      <c r="C51" s="15">
        <v>45664</v>
      </c>
      <c r="D51" s="15">
        <v>45924</v>
      </c>
      <c r="E51">
        <f ca="1">12*(YEAR(TODAY()) - YEAR(D51))+ (MONTH(TODAY()) - MONTH(D51))</f>
        <v>7</v>
      </c>
      <c r="F51">
        <f>IF((12 * (YEAR(D51) - YEAR(C51)) + (MONTH(D51) - MONTH(C51))) = 0, B51, B51 / (12 * (YEAR(D51) - YEAR(C51)) + (MONTH(D51) - MONTH(C51))))</f>
        <v>1.125</v>
      </c>
      <c r="G51" t="str" cm="1">
        <f t="array" aca="1" ref="G51" ca="1">IFERROR(_xlfn.IFS(B51/(MAX(1, 12*(YEAR(D51)-YEAR(C51)) + (MONTH(D51)-MONTH(C51)))) &gt;= 2, "Loyal",D51 &gt;= EDATE(TODAY(), -3), "Aktif",TRUE, "Pasif"),"Pasif")</f>
        <v>Pasif</v>
      </c>
      <c r="H51" s="11">
        <v>37700000</v>
      </c>
      <c r="I51" t="str" cm="1">
        <f t="array" ref="I51">_xlfn.IFS(H51&lt;5000000, "Bronze",H51&lt;10000000, "Silver",H51&lt;20000000, "Gold", H51&gt;=20000000, "Diamond")</f>
        <v>Diamond</v>
      </c>
    </row>
    <row r="52" spans="1:9" x14ac:dyDescent="0.3">
      <c r="A52" s="17" t="s">
        <v>76</v>
      </c>
      <c r="B52">
        <v>6</v>
      </c>
      <c r="C52" s="15">
        <v>45662</v>
      </c>
      <c r="D52" s="15">
        <v>45831</v>
      </c>
      <c r="E52">
        <f ca="1">12*(YEAR(TODAY()) - YEAR(D52))+ (MONTH(TODAY()) - MONTH(D52))</f>
        <v>10</v>
      </c>
      <c r="F52">
        <f>IF((12 * (YEAR(D52) - YEAR(C52)) + (MONTH(D52) - MONTH(C52))) = 0, B52, B52 / (12 * (YEAR(D52) - YEAR(C52)) + (MONTH(D52) - MONTH(C52))))</f>
        <v>1.2</v>
      </c>
      <c r="G52" t="str" cm="1">
        <f t="array" aca="1" ref="G52" ca="1">IFERROR(_xlfn.IFS(B52/(MAX(1, 12*(YEAR(D52)-YEAR(C52)) + (MONTH(D52)-MONTH(C52)))) &gt;= 2, "Loyal",D52 &gt;= EDATE(TODAY(), -3), "Aktif",TRUE, "Pasif"),"Pasif")</f>
        <v>Pasif</v>
      </c>
      <c r="H52" s="11">
        <v>37400000</v>
      </c>
      <c r="I52" t="str" cm="1">
        <f t="array" ref="I52">_xlfn.IFS(H52&lt;5000000, "Bronze",H52&lt;10000000, "Silver",H52&lt;20000000, "Gold", H52&gt;=20000000, "Diamond")</f>
        <v>Diamond</v>
      </c>
    </row>
    <row r="53" spans="1:9" x14ac:dyDescent="0.3">
      <c r="A53" s="17" t="s">
        <v>98</v>
      </c>
      <c r="B53">
        <v>11</v>
      </c>
      <c r="C53" s="15">
        <v>45689</v>
      </c>
      <c r="D53" s="15">
        <v>45910</v>
      </c>
      <c r="E53">
        <f ca="1">12*(YEAR(TODAY()) - YEAR(D53))+ (MONTH(TODAY()) - MONTH(D53))</f>
        <v>7</v>
      </c>
      <c r="F53">
        <f>IF((12 * (YEAR(D53) - YEAR(C53)) + (MONTH(D53) - MONTH(C53))) = 0, B53, B53 / (12 * (YEAR(D53) - YEAR(C53)) + (MONTH(D53) - MONTH(C53))))</f>
        <v>1.5714285714285714</v>
      </c>
      <c r="G53" t="str" cm="1">
        <f t="array" aca="1" ref="G53" ca="1">IFERROR(_xlfn.IFS(B53/(MAX(1, 12*(YEAR(D53)-YEAR(C53)) + (MONTH(D53)-MONTH(C53)))) &gt;= 2, "Loyal",D53 &gt;= EDATE(TODAY(), -3), "Aktif",TRUE, "Pasif"),"Pasif")</f>
        <v>Pasif</v>
      </c>
      <c r="H53" s="11">
        <v>36400000</v>
      </c>
      <c r="I53" t="str" cm="1">
        <f t="array" ref="I53">_xlfn.IFS(H53&lt;5000000, "Bronze",H53&lt;10000000, "Silver",H53&lt;20000000, "Gold", H53&gt;=20000000, "Diamond")</f>
        <v>Diamond</v>
      </c>
    </row>
    <row r="54" spans="1:9" x14ac:dyDescent="0.3">
      <c r="A54" s="17" t="s">
        <v>10</v>
      </c>
      <c r="B54">
        <v>10</v>
      </c>
      <c r="C54" s="15">
        <v>45685</v>
      </c>
      <c r="D54" s="15">
        <v>45930</v>
      </c>
      <c r="E54">
        <f ca="1">12*(YEAR(TODAY()) - YEAR(D54))+ (MONTH(TODAY()) - MONTH(D54))</f>
        <v>7</v>
      </c>
      <c r="F54">
        <f>IF((12 * (YEAR(D54) - YEAR(C54)) + (MONTH(D54) - MONTH(C54))) = 0, B54, B54 / (12 * (YEAR(D54) - YEAR(C54)) + (MONTH(D54) - MONTH(C54))))</f>
        <v>1.25</v>
      </c>
      <c r="G54" t="str" cm="1">
        <f t="array" aca="1" ref="G54" ca="1">IFERROR(_xlfn.IFS(B54/(MAX(1, 12*(YEAR(D54)-YEAR(C54)) + (MONTH(D54)-MONTH(C54)))) &gt;= 2, "Loyal",D54 &gt;= EDATE(TODAY(), -3), "Aktif",TRUE, "Pasif"),"Pasif")</f>
        <v>Pasif</v>
      </c>
      <c r="H54" s="11">
        <v>36200000</v>
      </c>
      <c r="I54" t="str" cm="1">
        <f t="array" ref="I54">_xlfn.IFS(H54&lt;5000000, "Bronze",H54&lt;10000000, "Silver",H54&lt;20000000, "Gold", H54&gt;=20000000, "Diamond")</f>
        <v>Diamond</v>
      </c>
    </row>
    <row r="55" spans="1:9" x14ac:dyDescent="0.3">
      <c r="A55" s="17" t="s">
        <v>38</v>
      </c>
      <c r="B55">
        <v>9</v>
      </c>
      <c r="C55" s="15">
        <v>45672</v>
      </c>
      <c r="D55" s="15">
        <v>45858</v>
      </c>
      <c r="E55">
        <f ca="1">12*(YEAR(TODAY()) - YEAR(D55))+ (MONTH(TODAY()) - MONTH(D55))</f>
        <v>9</v>
      </c>
      <c r="F55">
        <f>IF((12 * (YEAR(D55) - YEAR(C55)) + (MONTH(D55) - MONTH(C55))) = 0, B55, B55 / (12 * (YEAR(D55) - YEAR(C55)) + (MONTH(D55) - MONTH(C55))))</f>
        <v>1.5</v>
      </c>
      <c r="G55" t="str" cm="1">
        <f t="array" aca="1" ref="G55" ca="1">IFERROR(_xlfn.IFS(B55/(MAX(1, 12*(YEAR(D55)-YEAR(C55)) + (MONTH(D55)-MONTH(C55)))) &gt;= 2, "Loyal",D55 &gt;= EDATE(TODAY(), -3), "Aktif",TRUE, "Pasif"),"Pasif")</f>
        <v>Pasif</v>
      </c>
      <c r="H55" s="11">
        <v>35400000</v>
      </c>
      <c r="I55" t="str" cm="1">
        <f t="array" ref="I55">_xlfn.IFS(H55&lt;5000000, "Bronze",H55&lt;10000000, "Silver",H55&lt;20000000, "Gold", H55&gt;=20000000, "Diamond")</f>
        <v>Diamond</v>
      </c>
    </row>
    <row r="56" spans="1:9" x14ac:dyDescent="0.3">
      <c r="A56" s="17" t="s">
        <v>84</v>
      </c>
      <c r="B56">
        <v>8</v>
      </c>
      <c r="C56" s="15">
        <v>45683</v>
      </c>
      <c r="D56" s="15">
        <v>45928</v>
      </c>
      <c r="E56">
        <f ca="1">12*(YEAR(TODAY()) - YEAR(D56))+ (MONTH(TODAY()) - MONTH(D56))</f>
        <v>7</v>
      </c>
      <c r="F56">
        <f>IF((12 * (YEAR(D56) - YEAR(C56)) + (MONTH(D56) - MONTH(C56))) = 0, B56, B56 / (12 * (YEAR(D56) - YEAR(C56)) + (MONTH(D56) - MONTH(C56))))</f>
        <v>1</v>
      </c>
      <c r="G56" t="str" cm="1">
        <f t="array" aca="1" ref="G56" ca="1">IFERROR(_xlfn.IFS(B56/(MAX(1, 12*(YEAR(D56)-YEAR(C56)) + (MONTH(D56)-MONTH(C56)))) &gt;= 2, "Loyal",D56 &gt;= EDATE(TODAY(), -3), "Aktif",TRUE, "Pasif"),"Pasif")</f>
        <v>Pasif</v>
      </c>
      <c r="H56" s="11">
        <v>33150000</v>
      </c>
      <c r="I56" t="str" cm="1">
        <f t="array" ref="I56">_xlfn.IFS(H56&lt;5000000, "Bronze",H56&lt;10000000, "Silver",H56&lt;20000000, "Gold", H56&gt;=20000000, "Diamond")</f>
        <v>Diamond</v>
      </c>
    </row>
    <row r="57" spans="1:9" x14ac:dyDescent="0.3">
      <c r="A57" s="17" t="s">
        <v>43</v>
      </c>
      <c r="B57">
        <v>8</v>
      </c>
      <c r="C57" s="15">
        <v>45708</v>
      </c>
      <c r="D57" s="15">
        <v>45920</v>
      </c>
      <c r="E57">
        <f ca="1">12*(YEAR(TODAY()) - YEAR(D57))+ (MONTH(TODAY()) - MONTH(D57))</f>
        <v>7</v>
      </c>
      <c r="F57">
        <f>IF((12 * (YEAR(D57) - YEAR(C57)) + (MONTH(D57) - MONTH(C57))) = 0, B57, B57 / (12 * (YEAR(D57) - YEAR(C57)) + (MONTH(D57) - MONTH(C57))))</f>
        <v>1.1428571428571428</v>
      </c>
      <c r="G57" t="str" cm="1">
        <f t="array" aca="1" ref="G57" ca="1">IFERROR(_xlfn.IFS(B57/(MAX(1, 12*(YEAR(D57)-YEAR(C57)) + (MONTH(D57)-MONTH(C57)))) &gt;= 2, "Loyal",D57 &gt;= EDATE(TODAY(), -3), "Aktif",TRUE, "Pasif"),"Pasif")</f>
        <v>Pasif</v>
      </c>
      <c r="H57" s="11">
        <v>32400000</v>
      </c>
      <c r="I57" t="str" cm="1">
        <f t="array" ref="I57">_xlfn.IFS(H57&lt;5000000, "Bronze",H57&lt;10000000, "Silver",H57&lt;20000000, "Gold", H57&gt;=20000000, "Diamond")</f>
        <v>Diamond</v>
      </c>
    </row>
    <row r="58" spans="1:9" x14ac:dyDescent="0.3">
      <c r="A58" s="17" t="s">
        <v>8</v>
      </c>
      <c r="B58">
        <v>11</v>
      </c>
      <c r="C58" s="15">
        <v>45660</v>
      </c>
      <c r="D58" s="15">
        <v>45922</v>
      </c>
      <c r="E58">
        <f ca="1">12*(YEAR(TODAY()) - YEAR(D58))+ (MONTH(TODAY()) - MONTH(D58))</f>
        <v>7</v>
      </c>
      <c r="F58">
        <f>IF((12 * (YEAR(D58) - YEAR(C58)) + (MONTH(D58) - MONTH(C58))) = 0, B58, B58 / (12 * (YEAR(D58) - YEAR(C58)) + (MONTH(D58) - MONTH(C58))))</f>
        <v>1.375</v>
      </c>
      <c r="G58" t="str" cm="1">
        <f t="array" aca="1" ref="G58" ca="1">IFERROR(_xlfn.IFS(B58/(MAX(1, 12*(YEAR(D58)-YEAR(C58)) + (MONTH(D58)-MONTH(C58)))) &gt;= 2, "Loyal",D58 &gt;= EDATE(TODAY(), -3), "Aktif",TRUE, "Pasif"),"Pasif")</f>
        <v>Pasif</v>
      </c>
      <c r="H58" s="11">
        <v>31750000</v>
      </c>
      <c r="I58" t="str" cm="1">
        <f t="array" ref="I58">_xlfn.IFS(H58&lt;5000000, "Bronze",H58&lt;10000000, "Silver",H58&lt;20000000, "Gold", H58&gt;=20000000, "Diamond")</f>
        <v>Diamond</v>
      </c>
    </row>
    <row r="59" spans="1:9" x14ac:dyDescent="0.3">
      <c r="A59" s="17" t="s">
        <v>57</v>
      </c>
      <c r="B59">
        <v>10</v>
      </c>
      <c r="C59" s="15">
        <v>45718</v>
      </c>
      <c r="D59" s="15">
        <v>45899</v>
      </c>
      <c r="E59">
        <f ca="1">12*(YEAR(TODAY()) - YEAR(D59))+ (MONTH(TODAY()) - MONTH(D59))</f>
        <v>8</v>
      </c>
      <c r="F59">
        <f>IF((12 * (YEAR(D59) - YEAR(C59)) + (MONTH(D59) - MONTH(C59))) = 0, B59, B59 / (12 * (YEAR(D59) - YEAR(C59)) + (MONTH(D59) - MONTH(C59))))</f>
        <v>2</v>
      </c>
      <c r="G59" t="str" cm="1">
        <f t="array" aca="1" ref="G59" ca="1">IFERROR(_xlfn.IFS(B59/(MAX(1, 12*(YEAR(D59)-YEAR(C59)) + (MONTH(D59)-MONTH(C59)))) &gt;= 2, "Loyal",D59 &gt;= EDATE(TODAY(), -3), "Aktif",TRUE, "Pasif"),"Pasif")</f>
        <v>Loyal</v>
      </c>
      <c r="H59" s="11">
        <v>30750000</v>
      </c>
      <c r="I59" t="str" cm="1">
        <f t="array" ref="I59">_xlfn.IFS(H59&lt;5000000, "Bronze",H59&lt;10000000, "Silver",H59&lt;20000000, "Gold", H59&gt;=20000000, "Diamond")</f>
        <v>Diamond</v>
      </c>
    </row>
    <row r="60" spans="1:9" x14ac:dyDescent="0.3">
      <c r="A60" s="17" t="s">
        <v>61</v>
      </c>
      <c r="B60">
        <v>7</v>
      </c>
      <c r="C60" s="15">
        <v>45662</v>
      </c>
      <c r="D60" s="15">
        <v>45795</v>
      </c>
      <c r="E60">
        <f ca="1">12*(YEAR(TODAY()) - YEAR(D60))+ (MONTH(TODAY()) - MONTH(D60))</f>
        <v>11</v>
      </c>
      <c r="F60">
        <f>IF((12 * (YEAR(D60) - YEAR(C60)) + (MONTH(D60) - MONTH(C60))) = 0, B60, B60 / (12 * (YEAR(D60) - YEAR(C60)) + (MONTH(D60) - MONTH(C60))))</f>
        <v>1.75</v>
      </c>
      <c r="G60" t="str" cm="1">
        <f t="array" aca="1" ref="G60" ca="1">IFERROR(_xlfn.IFS(B60/(MAX(1, 12*(YEAR(D60)-YEAR(C60)) + (MONTH(D60)-MONTH(C60)))) &gt;= 2, "Loyal",D60 &gt;= EDATE(TODAY(), -3), "Aktif",TRUE, "Pasif"),"Pasif")</f>
        <v>Pasif</v>
      </c>
      <c r="H60" s="11">
        <v>30650000</v>
      </c>
      <c r="I60" t="str" cm="1">
        <f t="array" ref="I60">_xlfn.IFS(H60&lt;5000000, "Bronze",H60&lt;10000000, "Silver",H60&lt;20000000, "Gold", H60&gt;=20000000, "Diamond")</f>
        <v>Diamond</v>
      </c>
    </row>
    <row r="61" spans="1:9" x14ac:dyDescent="0.3">
      <c r="A61" s="17" t="s">
        <v>29</v>
      </c>
      <c r="B61">
        <v>9</v>
      </c>
      <c r="C61" s="15">
        <v>45702</v>
      </c>
      <c r="D61" s="15">
        <v>45895</v>
      </c>
      <c r="E61">
        <f ca="1">12*(YEAR(TODAY()) - YEAR(D61))+ (MONTH(TODAY()) - MONTH(D61))</f>
        <v>8</v>
      </c>
      <c r="F61">
        <f>IF((12 * (YEAR(D61) - YEAR(C61)) + (MONTH(D61) - MONTH(C61))) = 0, B61, B61 / (12 * (YEAR(D61) - YEAR(C61)) + (MONTH(D61) - MONTH(C61))))</f>
        <v>1.5</v>
      </c>
      <c r="G61" t="str" cm="1">
        <f t="array" aca="1" ref="G61" ca="1">IFERROR(_xlfn.IFS(B61/(MAX(1, 12*(YEAR(D61)-YEAR(C61)) + (MONTH(D61)-MONTH(C61)))) &gt;= 2, "Loyal",D61 &gt;= EDATE(TODAY(), -3), "Aktif",TRUE, "Pasif"),"Pasif")</f>
        <v>Pasif</v>
      </c>
      <c r="H61" s="11">
        <v>30400000</v>
      </c>
      <c r="I61" t="str" cm="1">
        <f t="array" ref="I61">_xlfn.IFS(H61&lt;5000000, "Bronze",H61&lt;10000000, "Silver",H61&lt;20000000, "Gold", H61&gt;=20000000, "Diamond")</f>
        <v>Diamond</v>
      </c>
    </row>
    <row r="62" spans="1:9" x14ac:dyDescent="0.3">
      <c r="A62" s="17" t="s">
        <v>7</v>
      </c>
      <c r="B62">
        <v>3</v>
      </c>
      <c r="C62" s="15">
        <v>45851</v>
      </c>
      <c r="D62" s="15">
        <v>45928</v>
      </c>
      <c r="E62">
        <f ca="1">12*(YEAR(TODAY()) - YEAR(D62))+ (MONTH(TODAY()) - MONTH(D62))</f>
        <v>7</v>
      </c>
      <c r="F62">
        <f>IF((12 * (YEAR(D62) - YEAR(C62)) + (MONTH(D62) - MONTH(C62))) = 0, B62, B62 / (12 * (YEAR(D62) - YEAR(C62)) + (MONTH(D62) - MONTH(C62))))</f>
        <v>1.5</v>
      </c>
      <c r="G62" t="str" cm="1">
        <f t="array" aca="1" ref="G62" ca="1">IFERROR(_xlfn.IFS(B62/(MAX(1, 12*(YEAR(D62)-YEAR(C62)) + (MONTH(D62)-MONTH(C62)))) &gt;= 2, "Loyal",D62 &gt;= EDATE(TODAY(), -3), "Aktif",TRUE, "Pasif"),"Pasif")</f>
        <v>Pasif</v>
      </c>
      <c r="H62" s="11">
        <v>30150000</v>
      </c>
      <c r="I62" t="str" cm="1">
        <f t="array" ref="I62">_xlfn.IFS(H62&lt;5000000, "Bronze",H62&lt;10000000, "Silver",H62&lt;20000000, "Gold", H62&gt;=20000000, "Diamond")</f>
        <v>Diamond</v>
      </c>
    </row>
    <row r="63" spans="1:9" x14ac:dyDescent="0.3">
      <c r="A63" s="17" t="s">
        <v>95</v>
      </c>
      <c r="B63">
        <v>13</v>
      </c>
      <c r="C63" s="15">
        <v>45709</v>
      </c>
      <c r="D63" s="15">
        <v>45912</v>
      </c>
      <c r="E63">
        <f ca="1">12*(YEAR(TODAY()) - YEAR(D63))+ (MONTH(TODAY()) - MONTH(D63))</f>
        <v>7</v>
      </c>
      <c r="F63">
        <f>IF((12 * (YEAR(D63) - YEAR(C63)) + (MONTH(D63) - MONTH(C63))) = 0, B63, B63 / (12 * (YEAR(D63) - YEAR(C63)) + (MONTH(D63) - MONTH(C63))))</f>
        <v>1.8571428571428572</v>
      </c>
      <c r="G63" t="str" cm="1">
        <f t="array" aca="1" ref="G63" ca="1">IFERROR(_xlfn.IFS(B63/(MAX(1, 12*(YEAR(D63)-YEAR(C63)) + (MONTH(D63)-MONTH(C63)))) &gt;= 2, "Loyal",D63 &gt;= EDATE(TODAY(), -3), "Aktif",TRUE, "Pasif"),"Pasif")</f>
        <v>Pasif</v>
      </c>
      <c r="H63" s="11">
        <v>30000000</v>
      </c>
      <c r="I63" t="str" cm="1">
        <f t="array" ref="I63">_xlfn.IFS(H63&lt;5000000, "Bronze",H63&lt;10000000, "Silver",H63&lt;20000000, "Gold", H63&gt;=20000000, "Diamond")</f>
        <v>Diamond</v>
      </c>
    </row>
    <row r="64" spans="1:9" x14ac:dyDescent="0.3">
      <c r="A64" s="17" t="s">
        <v>18</v>
      </c>
      <c r="B64">
        <v>8</v>
      </c>
      <c r="C64" s="15">
        <v>45686</v>
      </c>
      <c r="D64" s="15">
        <v>45884</v>
      </c>
      <c r="E64">
        <f ca="1">12*(YEAR(TODAY()) - YEAR(D64))+ (MONTH(TODAY()) - MONTH(D64))</f>
        <v>8</v>
      </c>
      <c r="F64">
        <f>IF((12 * (YEAR(D64) - YEAR(C64)) + (MONTH(D64) - MONTH(C64))) = 0, B64, B64 / (12 * (YEAR(D64) - YEAR(C64)) + (MONTH(D64) - MONTH(C64))))</f>
        <v>1.1428571428571428</v>
      </c>
      <c r="G64" t="str" cm="1">
        <f t="array" aca="1" ref="G64" ca="1">IFERROR(_xlfn.IFS(B64/(MAX(1, 12*(YEAR(D64)-YEAR(C64)) + (MONTH(D64)-MONTH(C64)))) &gt;= 2, "Loyal",D64 &gt;= EDATE(TODAY(), -3), "Aktif",TRUE, "Pasif"),"Pasif")</f>
        <v>Pasif</v>
      </c>
      <c r="H64" s="11">
        <v>30000000</v>
      </c>
      <c r="I64" t="str" cm="1">
        <f t="array" ref="I64">_xlfn.IFS(H64&lt;5000000, "Bronze",H64&lt;10000000, "Silver",H64&lt;20000000, "Gold", H64&gt;=20000000, "Diamond")</f>
        <v>Diamond</v>
      </c>
    </row>
    <row r="65" spans="1:9" x14ac:dyDescent="0.3">
      <c r="A65" s="17" t="s">
        <v>27</v>
      </c>
      <c r="B65">
        <v>12</v>
      </c>
      <c r="C65" s="15">
        <v>45667</v>
      </c>
      <c r="D65" s="15">
        <v>45932</v>
      </c>
      <c r="E65">
        <f ca="1">12*(YEAR(TODAY()) - YEAR(D65))+ (MONTH(TODAY()) - MONTH(D65))</f>
        <v>6</v>
      </c>
      <c r="F65">
        <f>IF((12 * (YEAR(D65) - YEAR(C65)) + (MONTH(D65) - MONTH(C65))) = 0, B65, B65 / (12 * (YEAR(D65) - YEAR(C65)) + (MONTH(D65) - MONTH(C65))))</f>
        <v>1.3333333333333333</v>
      </c>
      <c r="G65" t="str" cm="1">
        <f t="array" aca="1" ref="G65" ca="1">IFERROR(_xlfn.IFS(B65/(MAX(1, 12*(YEAR(D65)-YEAR(C65)) + (MONTH(D65)-MONTH(C65)))) &gt;= 2, "Loyal",D65 &gt;= EDATE(TODAY(), -3), "Aktif",TRUE, "Pasif"),"Pasif")</f>
        <v>Pasif</v>
      </c>
      <c r="H65" s="11">
        <v>29050000</v>
      </c>
      <c r="I65" t="str" cm="1">
        <f t="array" ref="I65">_xlfn.IFS(H65&lt;5000000, "Bronze",H65&lt;10000000, "Silver",H65&lt;20000000, "Gold", H65&gt;=20000000, "Diamond")</f>
        <v>Diamond</v>
      </c>
    </row>
    <row r="66" spans="1:9" x14ac:dyDescent="0.3">
      <c r="A66" s="17" t="s">
        <v>73</v>
      </c>
      <c r="B66">
        <v>10</v>
      </c>
      <c r="C66" s="15">
        <v>45699</v>
      </c>
      <c r="D66" s="15">
        <v>45926</v>
      </c>
      <c r="E66">
        <f ca="1">12*(YEAR(TODAY()) - YEAR(D66))+ (MONTH(TODAY()) - MONTH(D66))</f>
        <v>7</v>
      </c>
      <c r="F66">
        <f>IF((12 * (YEAR(D66) - YEAR(C66)) + (MONTH(D66) - MONTH(C66))) = 0, B66, B66 / (12 * (YEAR(D66) - YEAR(C66)) + (MONTH(D66) - MONTH(C66))))</f>
        <v>1.4285714285714286</v>
      </c>
      <c r="G66" t="str" cm="1">
        <f t="array" aca="1" ref="G66" ca="1">IFERROR(_xlfn.IFS(B66/(MAX(1, 12*(YEAR(D66)-YEAR(C66)) + (MONTH(D66)-MONTH(C66)))) &gt;= 2, "Loyal",D66 &gt;= EDATE(TODAY(), -3), "Aktif",TRUE, "Pasif"),"Pasif")</f>
        <v>Pasif</v>
      </c>
      <c r="H66" s="11">
        <v>28750000</v>
      </c>
      <c r="I66" t="str" cm="1">
        <f t="array" ref="I66">_xlfn.IFS(H66&lt;5000000, "Bronze",H66&lt;10000000, "Silver",H66&lt;20000000, "Gold", H66&gt;=20000000, "Diamond")</f>
        <v>Diamond</v>
      </c>
    </row>
    <row r="67" spans="1:9" x14ac:dyDescent="0.3">
      <c r="A67" s="17" t="s">
        <v>89</v>
      </c>
      <c r="B67">
        <v>7</v>
      </c>
      <c r="C67" s="15">
        <v>45735</v>
      </c>
      <c r="D67" s="15">
        <v>45923</v>
      </c>
      <c r="E67">
        <f ca="1">12*(YEAR(TODAY()) - YEAR(D67))+ (MONTH(TODAY()) - MONTH(D67))</f>
        <v>7</v>
      </c>
      <c r="F67">
        <f>IF((12 * (YEAR(D67) - YEAR(C67)) + (MONTH(D67) - MONTH(C67))) = 0, B67, B67 / (12 * (YEAR(D67) - YEAR(C67)) + (MONTH(D67) - MONTH(C67))))</f>
        <v>1.1666666666666667</v>
      </c>
      <c r="G67" t="str" cm="1">
        <f t="array" aca="1" ref="G67" ca="1">IFERROR(_xlfn.IFS(B67/(MAX(1, 12*(YEAR(D67)-YEAR(C67)) + (MONTH(D67)-MONTH(C67)))) &gt;= 2, "Loyal",D67 &gt;= EDATE(TODAY(), -3), "Aktif",TRUE, "Pasif"),"Pasif")</f>
        <v>Pasif</v>
      </c>
      <c r="H67" s="11">
        <v>28500000</v>
      </c>
      <c r="I67" t="str" cm="1">
        <f t="array" ref="I67">_xlfn.IFS(H67&lt;5000000, "Bronze",H67&lt;10000000, "Silver",H67&lt;20000000, "Gold", H67&gt;=20000000, "Diamond")</f>
        <v>Diamond</v>
      </c>
    </row>
    <row r="68" spans="1:9" x14ac:dyDescent="0.3">
      <c r="A68" s="17" t="s">
        <v>67</v>
      </c>
      <c r="B68">
        <v>9</v>
      </c>
      <c r="C68" s="15">
        <v>45674</v>
      </c>
      <c r="D68" s="15">
        <v>45931</v>
      </c>
      <c r="E68">
        <f ca="1">12*(YEAR(TODAY()) - YEAR(D68))+ (MONTH(TODAY()) - MONTH(D68))</f>
        <v>6</v>
      </c>
      <c r="F68">
        <f>IF((12 * (YEAR(D68) - YEAR(C68)) + (MONTH(D68) - MONTH(C68))) = 0, B68, B68 / (12 * (YEAR(D68) - YEAR(C68)) + (MONTH(D68) - MONTH(C68))))</f>
        <v>1</v>
      </c>
      <c r="G68" t="str" cm="1">
        <f t="array" aca="1" ref="G68" ca="1">IFERROR(_xlfn.IFS(B68/(MAX(1, 12*(YEAR(D68)-YEAR(C68)) + (MONTH(D68)-MONTH(C68)))) &gt;= 2, "Loyal",D68 &gt;= EDATE(TODAY(), -3), "Aktif",TRUE, "Pasif"),"Pasif")</f>
        <v>Pasif</v>
      </c>
      <c r="H68" s="11">
        <v>28450000</v>
      </c>
      <c r="I68" t="str" cm="1">
        <f t="array" ref="I68">_xlfn.IFS(H68&lt;5000000, "Bronze",H68&lt;10000000, "Silver",H68&lt;20000000, "Gold", H68&gt;=20000000, "Diamond")</f>
        <v>Diamond</v>
      </c>
    </row>
    <row r="69" spans="1:9" x14ac:dyDescent="0.3">
      <c r="A69" s="17" t="s">
        <v>64</v>
      </c>
      <c r="B69">
        <v>12</v>
      </c>
      <c r="C69" s="15">
        <v>45676</v>
      </c>
      <c r="D69" s="15">
        <v>45921</v>
      </c>
      <c r="E69">
        <f ca="1">12*(YEAR(TODAY()) - YEAR(D69))+ (MONTH(TODAY()) - MONTH(D69))</f>
        <v>7</v>
      </c>
      <c r="F69">
        <f>IF((12 * (YEAR(D69) - YEAR(C69)) + (MONTH(D69) - MONTH(C69))) = 0, B69, B69 / (12 * (YEAR(D69) - YEAR(C69)) + (MONTH(D69) - MONTH(C69))))</f>
        <v>1.5</v>
      </c>
      <c r="G69" t="str" cm="1">
        <f t="array" aca="1" ref="G69" ca="1">IFERROR(_xlfn.IFS(B69/(MAX(1, 12*(YEAR(D69)-YEAR(C69)) + (MONTH(D69)-MONTH(C69)))) &gt;= 2, "Loyal",D69 &gt;= EDATE(TODAY(), -3), "Aktif",TRUE, "Pasif"),"Pasif")</f>
        <v>Pasif</v>
      </c>
      <c r="H69" s="11">
        <v>27750000</v>
      </c>
      <c r="I69" t="str" cm="1">
        <f t="array" ref="I69">_xlfn.IFS(H69&lt;5000000, "Bronze",H69&lt;10000000, "Silver",H69&lt;20000000, "Gold", H69&gt;=20000000, "Diamond")</f>
        <v>Diamond</v>
      </c>
    </row>
    <row r="70" spans="1:9" x14ac:dyDescent="0.3">
      <c r="A70" s="17" t="s">
        <v>28</v>
      </c>
      <c r="B70">
        <v>10</v>
      </c>
      <c r="C70" s="15">
        <v>45705</v>
      </c>
      <c r="D70" s="15">
        <v>45929</v>
      </c>
      <c r="E70">
        <f ca="1">12*(YEAR(TODAY()) - YEAR(D70))+ (MONTH(TODAY()) - MONTH(D70))</f>
        <v>7</v>
      </c>
      <c r="F70">
        <f>IF((12 * (YEAR(D70) - YEAR(C70)) + (MONTH(D70) - MONTH(C70))) = 0, B70, B70 / (12 * (YEAR(D70) - YEAR(C70)) + (MONTH(D70) - MONTH(C70))))</f>
        <v>1.4285714285714286</v>
      </c>
      <c r="G70" t="str" cm="1">
        <f t="array" aca="1" ref="G70" ca="1">IFERROR(_xlfn.IFS(B70/(MAX(1, 12*(YEAR(D70)-YEAR(C70)) + (MONTH(D70)-MONTH(C70)))) &gt;= 2, "Loyal",D70 &gt;= EDATE(TODAY(), -3), "Aktif",TRUE, "Pasif"),"Pasif")</f>
        <v>Pasif</v>
      </c>
      <c r="H70" s="11">
        <v>26900000</v>
      </c>
      <c r="I70" t="str" cm="1">
        <f t="array" ref="I70">_xlfn.IFS(H70&lt;5000000, "Bronze",H70&lt;10000000, "Silver",H70&lt;20000000, "Gold", H70&gt;=20000000, "Diamond")</f>
        <v>Diamond</v>
      </c>
    </row>
    <row r="71" spans="1:9" x14ac:dyDescent="0.3">
      <c r="A71" s="17" t="s">
        <v>11</v>
      </c>
      <c r="B71">
        <v>7</v>
      </c>
      <c r="C71" s="15">
        <v>45696</v>
      </c>
      <c r="D71" s="15">
        <v>45910</v>
      </c>
      <c r="E71">
        <f ca="1">12*(YEAR(TODAY()) - YEAR(D71))+ (MONTH(TODAY()) - MONTH(D71))</f>
        <v>7</v>
      </c>
      <c r="F71">
        <f>IF((12 * (YEAR(D71) - YEAR(C71)) + (MONTH(D71) - MONTH(C71))) = 0, B71, B71 / (12 * (YEAR(D71) - YEAR(C71)) + (MONTH(D71) - MONTH(C71))))</f>
        <v>1</v>
      </c>
      <c r="G71" t="str" cm="1">
        <f t="array" aca="1" ref="G71" ca="1">IFERROR(_xlfn.IFS(B71/(MAX(1, 12*(YEAR(D71)-YEAR(C71)) + (MONTH(D71)-MONTH(C71)))) &gt;= 2, "Loyal",D71 &gt;= EDATE(TODAY(), -3), "Aktif",TRUE, "Pasif"),"Pasif")</f>
        <v>Pasif</v>
      </c>
      <c r="H71" s="11">
        <v>26800000</v>
      </c>
      <c r="I71" t="str" cm="1">
        <f t="array" ref="I71">_xlfn.IFS(H71&lt;5000000, "Bronze",H71&lt;10000000, "Silver",H71&lt;20000000, "Gold", H71&gt;=20000000, "Diamond")</f>
        <v>Diamond</v>
      </c>
    </row>
    <row r="72" spans="1:9" x14ac:dyDescent="0.3">
      <c r="A72" s="17" t="s">
        <v>94</v>
      </c>
      <c r="B72">
        <v>12</v>
      </c>
      <c r="C72" s="15">
        <v>45695</v>
      </c>
      <c r="D72" s="15">
        <v>45923</v>
      </c>
      <c r="E72">
        <f ca="1">12*(YEAR(TODAY()) - YEAR(D72))+ (MONTH(TODAY()) - MONTH(D72))</f>
        <v>7</v>
      </c>
      <c r="F72">
        <f>IF((12 * (YEAR(D72) - YEAR(C72)) + (MONTH(D72) - MONTH(C72))) = 0, B72, B72 / (12 * (YEAR(D72) - YEAR(C72)) + (MONTH(D72) - MONTH(C72))))</f>
        <v>1.7142857142857142</v>
      </c>
      <c r="G72" t="str" cm="1">
        <f t="array" aca="1" ref="G72" ca="1">IFERROR(_xlfn.IFS(B72/(MAX(1, 12*(YEAR(D72)-YEAR(C72)) + (MONTH(D72)-MONTH(C72)))) &gt;= 2, "Loyal",D72 &gt;= EDATE(TODAY(), -3), "Aktif",TRUE, "Pasif"),"Pasif")</f>
        <v>Pasif</v>
      </c>
      <c r="H72" s="11">
        <v>26650000</v>
      </c>
      <c r="I72" t="str" cm="1">
        <f t="array" ref="I72">_xlfn.IFS(H72&lt;5000000, "Bronze",H72&lt;10000000, "Silver",H72&lt;20000000, "Gold", H72&gt;=20000000, "Diamond")</f>
        <v>Diamond</v>
      </c>
    </row>
    <row r="73" spans="1:9" x14ac:dyDescent="0.3">
      <c r="A73" s="17" t="s">
        <v>66</v>
      </c>
      <c r="B73">
        <v>9</v>
      </c>
      <c r="C73" s="15">
        <v>45680</v>
      </c>
      <c r="D73" s="15">
        <v>45921</v>
      </c>
      <c r="E73">
        <f ca="1">12*(YEAR(TODAY()) - YEAR(D73))+ (MONTH(TODAY()) - MONTH(D73))</f>
        <v>7</v>
      </c>
      <c r="F73">
        <f>IF((12 * (YEAR(D73) - YEAR(C73)) + (MONTH(D73) - MONTH(C73))) = 0, B73, B73 / (12 * (YEAR(D73) - YEAR(C73)) + (MONTH(D73) - MONTH(C73))))</f>
        <v>1.125</v>
      </c>
      <c r="G73" t="str" cm="1">
        <f t="array" aca="1" ref="G73" ca="1">IFERROR(_xlfn.IFS(B73/(MAX(1, 12*(YEAR(D73)-YEAR(C73)) + (MONTH(D73)-MONTH(C73)))) &gt;= 2, "Loyal",D73 &gt;= EDATE(TODAY(), -3), "Aktif",TRUE, "Pasif"),"Pasif")</f>
        <v>Pasif</v>
      </c>
      <c r="H73" s="11">
        <v>26350000</v>
      </c>
      <c r="I73" t="str" cm="1">
        <f t="array" ref="I73">_xlfn.IFS(H73&lt;5000000, "Bronze",H73&lt;10000000, "Silver",H73&lt;20000000, "Gold", H73&gt;=20000000, "Diamond")</f>
        <v>Diamond</v>
      </c>
    </row>
    <row r="74" spans="1:9" x14ac:dyDescent="0.3">
      <c r="A74" s="17" t="s">
        <v>99</v>
      </c>
      <c r="B74">
        <v>9</v>
      </c>
      <c r="C74" s="15">
        <v>45688</v>
      </c>
      <c r="D74" s="15">
        <v>45916</v>
      </c>
      <c r="E74">
        <f ca="1">12*(YEAR(TODAY()) - YEAR(D74))+ (MONTH(TODAY()) - MONTH(D74))</f>
        <v>7</v>
      </c>
      <c r="F74">
        <f>IF((12 * (YEAR(D74) - YEAR(C74)) + (MONTH(D74) - MONTH(C74))) = 0, B74, B74 / (12 * (YEAR(D74) - YEAR(C74)) + (MONTH(D74) - MONTH(C74))))</f>
        <v>1.125</v>
      </c>
      <c r="G74" t="str" cm="1">
        <f t="array" aca="1" ref="G74" ca="1">IFERROR(_xlfn.IFS(B74/(MAX(1, 12*(YEAR(D74)-YEAR(C74)) + (MONTH(D74)-MONTH(C74)))) &gt;= 2, "Loyal",D74 &gt;= EDATE(TODAY(), -3), "Aktif",TRUE, "Pasif"),"Pasif")</f>
        <v>Pasif</v>
      </c>
      <c r="H74" s="11">
        <v>26300000</v>
      </c>
      <c r="I74" t="str" cm="1">
        <f t="array" ref="I74">_xlfn.IFS(H74&lt;5000000, "Bronze",H74&lt;10000000, "Silver",H74&lt;20000000, "Gold", H74&gt;=20000000, "Diamond")</f>
        <v>Diamond</v>
      </c>
    </row>
    <row r="75" spans="1:9" x14ac:dyDescent="0.3">
      <c r="A75" s="17" t="s">
        <v>37</v>
      </c>
      <c r="B75">
        <v>7</v>
      </c>
      <c r="C75" s="15">
        <v>45669</v>
      </c>
      <c r="D75" s="15">
        <v>45912</v>
      </c>
      <c r="E75">
        <f ca="1">12*(YEAR(TODAY()) - YEAR(D75))+ (MONTH(TODAY()) - MONTH(D75))</f>
        <v>7</v>
      </c>
      <c r="F75">
        <f>IF((12 * (YEAR(D75) - YEAR(C75)) + (MONTH(D75) - MONTH(C75))) = 0, B75, B75 / (12 * (YEAR(D75) - YEAR(C75)) + (MONTH(D75) - MONTH(C75))))</f>
        <v>0.875</v>
      </c>
      <c r="G75" t="str" cm="1">
        <f t="array" aca="1" ref="G75" ca="1">IFERROR(_xlfn.IFS(B75/(MAX(1, 12*(YEAR(D75)-YEAR(C75)) + (MONTH(D75)-MONTH(C75)))) &gt;= 2, "Loyal",D75 &gt;= EDATE(TODAY(), -3), "Aktif",TRUE, "Pasif"),"Pasif")</f>
        <v>Pasif</v>
      </c>
      <c r="H75" s="11">
        <v>26200000</v>
      </c>
      <c r="I75" t="str" cm="1">
        <f t="array" ref="I75">_xlfn.IFS(H75&lt;5000000, "Bronze",H75&lt;10000000, "Silver",H75&lt;20000000, "Gold", H75&gt;=20000000, "Diamond")</f>
        <v>Diamond</v>
      </c>
    </row>
    <row r="76" spans="1:9" x14ac:dyDescent="0.3">
      <c r="A76" s="17" t="s">
        <v>87</v>
      </c>
      <c r="B76">
        <v>8</v>
      </c>
      <c r="C76" s="15">
        <v>45698</v>
      </c>
      <c r="D76" s="15">
        <v>45930</v>
      </c>
      <c r="E76">
        <f ca="1">12*(YEAR(TODAY()) - YEAR(D76))+ (MONTH(TODAY()) - MONTH(D76))</f>
        <v>7</v>
      </c>
      <c r="F76">
        <f>IF((12 * (YEAR(D76) - YEAR(C76)) + (MONTH(D76) - MONTH(C76))) = 0, B76, B76 / (12 * (YEAR(D76) - YEAR(C76)) + (MONTH(D76) - MONTH(C76))))</f>
        <v>1.1428571428571428</v>
      </c>
      <c r="G76" t="str" cm="1">
        <f t="array" aca="1" ref="G76" ca="1">IFERROR(_xlfn.IFS(B76/(MAX(1, 12*(YEAR(D76)-YEAR(C76)) + (MONTH(D76)-MONTH(C76)))) &gt;= 2, "Loyal",D76 &gt;= EDATE(TODAY(), -3), "Aktif",TRUE, "Pasif"),"Pasif")</f>
        <v>Pasif</v>
      </c>
      <c r="H76" s="11">
        <v>26100000</v>
      </c>
      <c r="I76" t="str" cm="1">
        <f t="array" ref="I76">_xlfn.IFS(H76&lt;5000000, "Bronze",H76&lt;10000000, "Silver",H76&lt;20000000, "Gold", H76&gt;=20000000, "Diamond")</f>
        <v>Diamond</v>
      </c>
    </row>
    <row r="77" spans="1:9" x14ac:dyDescent="0.3">
      <c r="A77" s="17" t="s">
        <v>20</v>
      </c>
      <c r="B77">
        <v>12</v>
      </c>
      <c r="C77" s="15">
        <v>45684</v>
      </c>
      <c r="D77" s="15">
        <v>45931</v>
      </c>
      <c r="E77">
        <f ca="1">12*(YEAR(TODAY()) - YEAR(D77))+ (MONTH(TODAY()) - MONTH(D77))</f>
        <v>6</v>
      </c>
      <c r="F77">
        <f>IF((12 * (YEAR(D77) - YEAR(C77)) + (MONTH(D77) - MONTH(C77))) = 0, B77, B77 / (12 * (YEAR(D77) - YEAR(C77)) + (MONTH(D77) - MONTH(C77))))</f>
        <v>1.3333333333333333</v>
      </c>
      <c r="G77" t="str" cm="1">
        <f t="array" aca="1" ref="G77" ca="1">IFERROR(_xlfn.IFS(B77/(MAX(1, 12*(YEAR(D77)-YEAR(C77)) + (MONTH(D77)-MONTH(C77)))) &gt;= 2, "Loyal",D77 &gt;= EDATE(TODAY(), -3), "Aktif",TRUE, "Pasif"),"Pasif")</f>
        <v>Pasif</v>
      </c>
      <c r="H77" s="11">
        <v>25800000</v>
      </c>
      <c r="I77" t="str" cm="1">
        <f t="array" ref="I77">_xlfn.IFS(H77&lt;5000000, "Bronze",H77&lt;10000000, "Silver",H77&lt;20000000, "Gold", H77&gt;=20000000, "Diamond")</f>
        <v>Diamond</v>
      </c>
    </row>
    <row r="78" spans="1:9" x14ac:dyDescent="0.3">
      <c r="A78" s="17" t="s">
        <v>36</v>
      </c>
      <c r="B78">
        <v>13</v>
      </c>
      <c r="C78" s="15">
        <v>45661</v>
      </c>
      <c r="D78" s="15">
        <v>45930</v>
      </c>
      <c r="E78">
        <f ca="1">12*(YEAR(TODAY()) - YEAR(D78))+ (MONTH(TODAY()) - MONTH(D78))</f>
        <v>7</v>
      </c>
      <c r="F78">
        <f>IF((12 * (YEAR(D78) - YEAR(C78)) + (MONTH(D78) - MONTH(C78))) = 0, B78, B78 / (12 * (YEAR(D78) - YEAR(C78)) + (MONTH(D78) - MONTH(C78))))</f>
        <v>1.625</v>
      </c>
      <c r="G78" t="str" cm="1">
        <f t="array" aca="1" ref="G78" ca="1">IFERROR(_xlfn.IFS(B78/(MAX(1, 12*(YEAR(D78)-YEAR(C78)) + (MONTH(D78)-MONTH(C78)))) &gt;= 2, "Loyal",D78 &gt;= EDATE(TODAY(), -3), "Aktif",TRUE, "Pasif"),"Pasif")</f>
        <v>Pasif</v>
      </c>
      <c r="H78" s="11">
        <v>25500000</v>
      </c>
      <c r="I78" t="str" cm="1">
        <f t="array" ref="I78">_xlfn.IFS(H78&lt;5000000, "Bronze",H78&lt;10000000, "Silver",H78&lt;20000000, "Gold", H78&gt;=20000000, "Diamond")</f>
        <v>Diamond</v>
      </c>
    </row>
    <row r="79" spans="1:9" x14ac:dyDescent="0.3">
      <c r="A79" s="17" t="s">
        <v>9</v>
      </c>
      <c r="B79">
        <v>12</v>
      </c>
      <c r="C79" s="15">
        <v>45685</v>
      </c>
      <c r="D79" s="15">
        <v>45932</v>
      </c>
      <c r="E79">
        <f ca="1">12*(YEAR(TODAY()) - YEAR(D79))+ (MONTH(TODAY()) - MONTH(D79))</f>
        <v>6</v>
      </c>
      <c r="F79">
        <f>IF((12 * (YEAR(D79) - YEAR(C79)) + (MONTH(D79) - MONTH(C79))) = 0, B79, B79 / (12 * (YEAR(D79) - YEAR(C79)) + (MONTH(D79) - MONTH(C79))))</f>
        <v>1.3333333333333333</v>
      </c>
      <c r="G79" t="str" cm="1">
        <f t="array" aca="1" ref="G79" ca="1">IFERROR(_xlfn.IFS(B79/(MAX(1, 12*(YEAR(D79)-YEAR(C79)) + (MONTH(D79)-MONTH(C79)))) &gt;= 2, "Loyal",D79 &gt;= EDATE(TODAY(), -3), "Aktif",TRUE, "Pasif"),"Pasif")</f>
        <v>Pasif</v>
      </c>
      <c r="H79" s="11">
        <v>24900000</v>
      </c>
      <c r="I79" t="str" cm="1">
        <f t="array" ref="I79">_xlfn.IFS(H79&lt;5000000, "Bronze",H79&lt;10000000, "Silver",H79&lt;20000000, "Gold", H79&gt;=20000000, "Diamond")</f>
        <v>Diamond</v>
      </c>
    </row>
    <row r="80" spans="1:9" x14ac:dyDescent="0.3">
      <c r="A80" s="17" t="s">
        <v>68</v>
      </c>
      <c r="B80">
        <v>7</v>
      </c>
      <c r="C80" s="15">
        <v>45675</v>
      </c>
      <c r="D80" s="15">
        <v>45863</v>
      </c>
      <c r="E80">
        <f ca="1">12*(YEAR(TODAY()) - YEAR(D80))+ (MONTH(TODAY()) - MONTH(D80))</f>
        <v>9</v>
      </c>
      <c r="F80">
        <f>IF((12 * (YEAR(D80) - YEAR(C80)) + (MONTH(D80) - MONTH(C80))) = 0, B80, B80 / (12 * (YEAR(D80) - YEAR(C80)) + (MONTH(D80) - MONTH(C80))))</f>
        <v>1.1666666666666667</v>
      </c>
      <c r="G80" t="str" cm="1">
        <f t="array" aca="1" ref="G80" ca="1">IFERROR(_xlfn.IFS(B80/(MAX(1, 12*(YEAR(D80)-YEAR(C80)) + (MONTH(D80)-MONTH(C80)))) &gt;= 2, "Loyal",D80 &gt;= EDATE(TODAY(), -3), "Aktif",TRUE, "Pasif"),"Pasif")</f>
        <v>Pasif</v>
      </c>
      <c r="H80" s="11">
        <v>24500000</v>
      </c>
      <c r="I80" t="str" cm="1">
        <f t="array" ref="I80">_xlfn.IFS(H80&lt;5000000, "Bronze",H80&lt;10000000, "Silver",H80&lt;20000000, "Gold", H80&gt;=20000000, "Diamond")</f>
        <v>Diamond</v>
      </c>
    </row>
    <row r="81" spans="1:9" x14ac:dyDescent="0.3">
      <c r="A81" s="17" t="s">
        <v>96</v>
      </c>
      <c r="B81">
        <v>5</v>
      </c>
      <c r="C81" s="15">
        <v>45670</v>
      </c>
      <c r="D81" s="15">
        <v>45872</v>
      </c>
      <c r="E81">
        <f ca="1">12*(YEAR(TODAY()) - YEAR(D81))+ (MONTH(TODAY()) - MONTH(D81))</f>
        <v>8</v>
      </c>
      <c r="F81">
        <f>IF((12 * (YEAR(D81) - YEAR(C81)) + (MONTH(D81) - MONTH(C81))) = 0, B81, B81 / (12 * (YEAR(D81) - YEAR(C81)) + (MONTH(D81) - MONTH(C81))))</f>
        <v>0.7142857142857143</v>
      </c>
      <c r="G81" t="str" cm="1">
        <f t="array" aca="1" ref="G81" ca="1">IFERROR(_xlfn.IFS(B81/(MAX(1, 12*(YEAR(D81)-YEAR(C81)) + (MONTH(D81)-MONTH(C81)))) &gt;= 2, "Loyal",D81 &gt;= EDATE(TODAY(), -3), "Aktif",TRUE, "Pasif"),"Pasif")</f>
        <v>Pasif</v>
      </c>
      <c r="H81" s="11">
        <v>24200000</v>
      </c>
      <c r="I81" t="str" cm="1">
        <f t="array" ref="I81">_xlfn.IFS(H81&lt;5000000, "Bronze",H81&lt;10000000, "Silver",H81&lt;20000000, "Gold", H81&gt;=20000000, "Diamond")</f>
        <v>Diamond</v>
      </c>
    </row>
    <row r="82" spans="1:9" x14ac:dyDescent="0.3">
      <c r="A82" s="17" t="s">
        <v>32</v>
      </c>
      <c r="B82">
        <v>9</v>
      </c>
      <c r="C82" s="15">
        <v>45671</v>
      </c>
      <c r="D82" s="15">
        <v>45932</v>
      </c>
      <c r="E82">
        <f ca="1">12*(YEAR(TODAY()) - YEAR(D82))+ (MONTH(TODAY()) - MONTH(D82))</f>
        <v>6</v>
      </c>
      <c r="F82">
        <f>IF((12 * (YEAR(D82) - YEAR(C82)) + (MONTH(D82) - MONTH(C82))) = 0, B82, B82 / (12 * (YEAR(D82) - YEAR(C82)) + (MONTH(D82) - MONTH(C82))))</f>
        <v>1</v>
      </c>
      <c r="G82" t="str" cm="1">
        <f t="array" aca="1" ref="G82" ca="1">IFERROR(_xlfn.IFS(B82/(MAX(1, 12*(YEAR(D82)-YEAR(C82)) + (MONTH(D82)-MONTH(C82)))) &gt;= 2, "Loyal",D82 &gt;= EDATE(TODAY(), -3), "Aktif",TRUE, "Pasif"),"Pasif")</f>
        <v>Pasif</v>
      </c>
      <c r="H82" s="11">
        <v>23800000</v>
      </c>
      <c r="I82" t="str" cm="1">
        <f t="array" ref="I82">_xlfn.IFS(H82&lt;5000000, "Bronze",H82&lt;10000000, "Silver",H82&lt;20000000, "Gold", H82&gt;=20000000, "Diamond")</f>
        <v>Diamond</v>
      </c>
    </row>
    <row r="83" spans="1:9" x14ac:dyDescent="0.3">
      <c r="A83" s="17" t="s">
        <v>79</v>
      </c>
      <c r="B83">
        <v>8</v>
      </c>
      <c r="C83" s="15">
        <v>45679</v>
      </c>
      <c r="D83" s="15">
        <v>45898</v>
      </c>
      <c r="E83">
        <f ca="1">12*(YEAR(TODAY()) - YEAR(D83))+ (MONTH(TODAY()) - MONTH(D83))</f>
        <v>8</v>
      </c>
      <c r="F83">
        <f>IF((12 * (YEAR(D83) - YEAR(C83)) + (MONTH(D83) - MONTH(C83))) = 0, B83, B83 / (12 * (YEAR(D83) - YEAR(C83)) + (MONTH(D83) - MONTH(C83))))</f>
        <v>1.1428571428571428</v>
      </c>
      <c r="G83" t="str" cm="1">
        <f t="array" aca="1" ref="G83" ca="1">IFERROR(_xlfn.IFS(B83/(MAX(1, 12*(YEAR(D83)-YEAR(C83)) + (MONTH(D83)-MONTH(C83)))) &gt;= 2, "Loyal",D83 &gt;= EDATE(TODAY(), -3), "Aktif",TRUE, "Pasif"),"Pasif")</f>
        <v>Pasif</v>
      </c>
      <c r="H83" s="11">
        <v>23700000</v>
      </c>
      <c r="I83" t="str" cm="1">
        <f t="array" ref="I83">_xlfn.IFS(H83&lt;5000000, "Bronze",H83&lt;10000000, "Silver",H83&lt;20000000, "Gold", H83&gt;=20000000, "Diamond")</f>
        <v>Diamond</v>
      </c>
    </row>
    <row r="84" spans="1:9" x14ac:dyDescent="0.3">
      <c r="A84" s="17" t="s">
        <v>59</v>
      </c>
      <c r="B84">
        <v>9</v>
      </c>
      <c r="C84" s="15">
        <v>45672</v>
      </c>
      <c r="D84" s="15">
        <v>45930</v>
      </c>
      <c r="E84">
        <f ca="1">12*(YEAR(TODAY()) - YEAR(D84))+ (MONTH(TODAY()) - MONTH(D84))</f>
        <v>7</v>
      </c>
      <c r="F84">
        <f>IF((12 * (YEAR(D84) - YEAR(C84)) + (MONTH(D84) - MONTH(C84))) = 0, B84, B84 / (12 * (YEAR(D84) - YEAR(C84)) + (MONTH(D84) - MONTH(C84))))</f>
        <v>1.125</v>
      </c>
      <c r="G84" t="str" cm="1">
        <f t="array" aca="1" ref="G84" ca="1">IFERROR(_xlfn.IFS(B84/(MAX(1, 12*(YEAR(D84)-YEAR(C84)) + (MONTH(D84)-MONTH(C84)))) &gt;= 2, "Loyal",D84 &gt;= EDATE(TODAY(), -3), "Aktif",TRUE, "Pasif"),"Pasif")</f>
        <v>Pasif</v>
      </c>
      <c r="H84" s="11">
        <v>22850000</v>
      </c>
      <c r="I84" t="str" cm="1">
        <f t="array" ref="I84">_xlfn.IFS(H84&lt;5000000, "Bronze",H84&lt;10000000, "Silver",H84&lt;20000000, "Gold", H84&gt;=20000000, "Diamond")</f>
        <v>Diamond</v>
      </c>
    </row>
    <row r="85" spans="1:9" x14ac:dyDescent="0.3">
      <c r="A85" s="17" t="s">
        <v>104</v>
      </c>
      <c r="B85">
        <v>10</v>
      </c>
      <c r="C85" s="15">
        <v>45696</v>
      </c>
      <c r="D85" s="15">
        <v>45930</v>
      </c>
      <c r="E85">
        <f ca="1">12*(YEAR(TODAY()) - YEAR(D85))+ (MONTH(TODAY()) - MONTH(D85))</f>
        <v>7</v>
      </c>
      <c r="F85">
        <f>IF((12 * (YEAR(D85) - YEAR(C85)) + (MONTH(D85) - MONTH(C85))) = 0, B85, B85 / (12 * (YEAR(D85) - YEAR(C85)) + (MONTH(D85) - MONTH(C85))))</f>
        <v>1.4285714285714286</v>
      </c>
      <c r="G85" t="str" cm="1">
        <f t="array" aca="1" ref="G85" ca="1">IFERROR(_xlfn.IFS(B85/(MAX(1, 12*(YEAR(D85)-YEAR(C85)) + (MONTH(D85)-MONTH(C85)))) &gt;= 2, "Loyal",D85 &gt;= EDATE(TODAY(), -3), "Aktif",TRUE, "Pasif"),"Pasif")</f>
        <v>Pasif</v>
      </c>
      <c r="H85" s="11">
        <v>22000000</v>
      </c>
      <c r="I85" t="str" cm="1">
        <f t="array" ref="I85">_xlfn.IFS(H85&lt;5000000, "Bronze",H85&lt;10000000, "Silver",H85&lt;20000000, "Gold", H85&gt;=20000000, "Diamond")</f>
        <v>Diamond</v>
      </c>
    </row>
    <row r="86" spans="1:9" x14ac:dyDescent="0.3">
      <c r="A86" s="17" t="s">
        <v>70</v>
      </c>
      <c r="B86">
        <v>8</v>
      </c>
      <c r="C86" s="15">
        <v>45665</v>
      </c>
      <c r="D86" s="15">
        <v>45921</v>
      </c>
      <c r="E86">
        <f ca="1">12*(YEAR(TODAY()) - YEAR(D86))+ (MONTH(TODAY()) - MONTH(D86))</f>
        <v>7</v>
      </c>
      <c r="F86">
        <f>IF((12 * (YEAR(D86) - YEAR(C86)) + (MONTH(D86) - MONTH(C86))) = 0, B86, B86 / (12 * (YEAR(D86) - YEAR(C86)) + (MONTH(D86) - MONTH(C86))))</f>
        <v>1</v>
      </c>
      <c r="G86" t="str" cm="1">
        <f t="array" aca="1" ref="G86" ca="1">IFERROR(_xlfn.IFS(B86/(MAX(1, 12*(YEAR(D86)-YEAR(C86)) + (MONTH(D86)-MONTH(C86)))) &gt;= 2, "Loyal",D86 &gt;= EDATE(TODAY(), -3), "Aktif",TRUE, "Pasif"),"Pasif")</f>
        <v>Pasif</v>
      </c>
      <c r="H86" s="11">
        <v>21600000</v>
      </c>
      <c r="I86" t="str" cm="1">
        <f t="array" ref="I86">_xlfn.IFS(H86&lt;5000000, "Bronze",H86&lt;10000000, "Silver",H86&lt;20000000, "Gold", H86&gt;=20000000, "Diamond")</f>
        <v>Diamond</v>
      </c>
    </row>
    <row r="87" spans="1:9" x14ac:dyDescent="0.3">
      <c r="A87" s="17" t="s">
        <v>93</v>
      </c>
      <c r="B87">
        <v>13</v>
      </c>
      <c r="C87" s="15">
        <v>45670</v>
      </c>
      <c r="D87" s="15">
        <v>45890</v>
      </c>
      <c r="E87">
        <f ca="1">12*(YEAR(TODAY()) - YEAR(D87))+ (MONTH(TODAY()) - MONTH(D87))</f>
        <v>8</v>
      </c>
      <c r="F87">
        <f>IF((12 * (YEAR(D87) - YEAR(C87)) + (MONTH(D87) - MONTH(C87))) = 0, B87, B87 / (12 * (YEAR(D87) - YEAR(C87)) + (MONTH(D87) - MONTH(C87))))</f>
        <v>1.8571428571428572</v>
      </c>
      <c r="G87" t="str" cm="1">
        <f t="array" aca="1" ref="G87" ca="1">IFERROR(_xlfn.IFS(B87/(MAX(1, 12*(YEAR(D87)-YEAR(C87)) + (MONTH(D87)-MONTH(C87)))) &gt;= 2, "Loyal",D87 &gt;= EDATE(TODAY(), -3), "Aktif",TRUE, "Pasif"),"Pasif")</f>
        <v>Pasif</v>
      </c>
      <c r="H87" s="11">
        <v>19400000</v>
      </c>
      <c r="I87" t="str" cm="1">
        <f t="array" ref="I87">_xlfn.IFS(H87&lt;5000000, "Bronze",H87&lt;10000000, "Silver",H87&lt;20000000, "Gold", H87&gt;=20000000, "Diamond")</f>
        <v>Gold</v>
      </c>
    </row>
    <row r="88" spans="1:9" x14ac:dyDescent="0.3">
      <c r="A88" s="17" t="s">
        <v>85</v>
      </c>
      <c r="B88">
        <v>12</v>
      </c>
      <c r="C88" s="15">
        <v>45682</v>
      </c>
      <c r="D88" s="15">
        <v>45915</v>
      </c>
      <c r="E88">
        <f ca="1">12*(YEAR(TODAY()) - YEAR(D88))+ (MONTH(TODAY()) - MONTH(D88))</f>
        <v>7</v>
      </c>
      <c r="F88">
        <f>IF((12 * (YEAR(D88) - YEAR(C88)) + (MONTH(D88) - MONTH(C88))) = 0, B88, B88 / (12 * (YEAR(D88) - YEAR(C88)) + (MONTH(D88) - MONTH(C88))))</f>
        <v>1.5</v>
      </c>
      <c r="G88" t="str" cm="1">
        <f t="array" aca="1" ref="G88" ca="1">IFERROR(_xlfn.IFS(B88/(MAX(1, 12*(YEAR(D88)-YEAR(C88)) + (MONTH(D88)-MONTH(C88)))) &gt;= 2, "Loyal",D88 &gt;= EDATE(TODAY(), -3), "Aktif",TRUE, "Pasif"),"Pasif")</f>
        <v>Pasif</v>
      </c>
      <c r="H88" s="11">
        <v>18900000</v>
      </c>
      <c r="I88" t="str" cm="1">
        <f t="array" ref="I88">_xlfn.IFS(H88&lt;5000000, "Bronze",H88&lt;10000000, "Silver",H88&lt;20000000, "Gold", H88&gt;=20000000, "Diamond")</f>
        <v>Gold</v>
      </c>
    </row>
    <row r="89" spans="1:9" x14ac:dyDescent="0.3">
      <c r="A89" s="17" t="s">
        <v>34</v>
      </c>
      <c r="B89">
        <v>17</v>
      </c>
      <c r="C89" s="15">
        <v>45660</v>
      </c>
      <c r="D89" s="15">
        <v>45912</v>
      </c>
      <c r="E89">
        <f ca="1">12*(YEAR(TODAY()) - YEAR(D89))+ (MONTH(TODAY()) - MONTH(D89))</f>
        <v>7</v>
      </c>
      <c r="F89">
        <f>IF((12 * (YEAR(D89) - YEAR(C89)) + (MONTH(D89) - MONTH(C89))) = 0, B89, B89 / (12 * (YEAR(D89) - YEAR(C89)) + (MONTH(D89) - MONTH(C89))))</f>
        <v>2.125</v>
      </c>
      <c r="G89" t="str" cm="1">
        <f t="array" aca="1" ref="G89" ca="1">IFERROR(_xlfn.IFS(B89/(MAX(1, 12*(YEAR(D89)-YEAR(C89)) + (MONTH(D89)-MONTH(C89)))) &gt;= 2, "Loyal",D89 &gt;= EDATE(TODAY(), -3), "Aktif",TRUE, "Pasif"),"Pasif")</f>
        <v>Loyal</v>
      </c>
      <c r="H89" s="11">
        <v>18400000</v>
      </c>
      <c r="I89" t="str" cm="1">
        <f t="array" ref="I89">_xlfn.IFS(H89&lt;5000000, "Bronze",H89&lt;10000000, "Silver",H89&lt;20000000, "Gold", H89&gt;=20000000, "Diamond")</f>
        <v>Gold</v>
      </c>
    </row>
    <row r="90" spans="1:9" x14ac:dyDescent="0.3">
      <c r="A90" s="17" t="s">
        <v>63</v>
      </c>
      <c r="B90">
        <v>8</v>
      </c>
      <c r="C90" s="15">
        <v>45743</v>
      </c>
      <c r="D90" s="15">
        <v>45920</v>
      </c>
      <c r="E90">
        <f ca="1">12*(YEAR(TODAY()) - YEAR(D90))+ (MONTH(TODAY()) - MONTH(D90))</f>
        <v>7</v>
      </c>
      <c r="F90">
        <f>IF((12 * (YEAR(D90) - YEAR(C90)) + (MONTH(D90) - MONTH(C90))) = 0, B90, B90 / (12 * (YEAR(D90) - YEAR(C90)) + (MONTH(D90) - MONTH(C90))))</f>
        <v>1.3333333333333333</v>
      </c>
      <c r="G90" t="str" cm="1">
        <f t="array" aca="1" ref="G90" ca="1">IFERROR(_xlfn.IFS(B90/(MAX(1, 12*(YEAR(D90)-YEAR(C90)) + (MONTH(D90)-MONTH(C90)))) &gt;= 2, "Loyal",D90 &gt;= EDATE(TODAY(), -3), "Aktif",TRUE, "Pasif"),"Pasif")</f>
        <v>Pasif</v>
      </c>
      <c r="H90" s="11">
        <v>15700000</v>
      </c>
      <c r="I90" t="str" cm="1">
        <f t="array" ref="I90">_xlfn.IFS(H90&lt;5000000, "Bronze",H90&lt;10000000, "Silver",H90&lt;20000000, "Gold", H90&gt;=20000000, "Diamond")</f>
        <v>Gold</v>
      </c>
    </row>
    <row r="91" spans="1:9" x14ac:dyDescent="0.3">
      <c r="A91" s="17" t="s">
        <v>71</v>
      </c>
      <c r="B91">
        <v>6</v>
      </c>
      <c r="C91" s="15">
        <v>45712</v>
      </c>
      <c r="D91" s="15">
        <v>45914</v>
      </c>
      <c r="E91">
        <f ca="1">12*(YEAR(TODAY()) - YEAR(D91))+ (MONTH(TODAY()) - MONTH(D91))</f>
        <v>7</v>
      </c>
      <c r="F91">
        <f>IF((12 * (YEAR(D91) - YEAR(C91)) + (MONTH(D91) - MONTH(C91))) = 0, B91, B91 / (12 * (YEAR(D91) - YEAR(C91)) + (MONTH(D91) - MONTH(C91))))</f>
        <v>0.8571428571428571</v>
      </c>
      <c r="G91" t="str" cm="1">
        <f t="array" aca="1" ref="G91" ca="1">IFERROR(_xlfn.IFS(B91/(MAX(1, 12*(YEAR(D91)-YEAR(C91)) + (MONTH(D91)-MONTH(C91)))) &gt;= 2, "Loyal",D91 &gt;= EDATE(TODAY(), -3), "Aktif",TRUE, "Pasif"),"Pasif")</f>
        <v>Pasif</v>
      </c>
      <c r="H91" s="11">
        <v>15200000</v>
      </c>
      <c r="I91" t="str" cm="1">
        <f t="array" ref="I91">_xlfn.IFS(H91&lt;5000000, "Bronze",H91&lt;10000000, "Silver",H91&lt;20000000, "Gold", H91&gt;=20000000, "Diamond")</f>
        <v>Gold</v>
      </c>
    </row>
    <row r="92" spans="1:9" x14ac:dyDescent="0.3">
      <c r="A92" s="17" t="s">
        <v>52</v>
      </c>
      <c r="B92">
        <v>4</v>
      </c>
      <c r="C92" s="15">
        <v>45662</v>
      </c>
      <c r="D92" s="15">
        <v>45884</v>
      </c>
      <c r="E92">
        <f ca="1">12*(YEAR(TODAY()) - YEAR(D92))+ (MONTH(TODAY()) - MONTH(D92))</f>
        <v>8</v>
      </c>
      <c r="F92">
        <f>IF((12 * (YEAR(D92) - YEAR(C92)) + (MONTH(D92) - MONTH(C92))) = 0, B92, B92 / (12 * (YEAR(D92) - YEAR(C92)) + (MONTH(D92) - MONTH(C92))))</f>
        <v>0.5714285714285714</v>
      </c>
      <c r="G92" t="str" cm="1">
        <f t="array" aca="1" ref="G92" ca="1">IFERROR(_xlfn.IFS(B92/(MAX(1, 12*(YEAR(D92)-YEAR(C92)) + (MONTH(D92)-MONTH(C92)))) &gt;= 2, "Loyal",D92 &gt;= EDATE(TODAY(), -3), "Aktif",TRUE, "Pasif"),"Pasif")</f>
        <v>Pasif</v>
      </c>
      <c r="H92" s="11">
        <v>14000000</v>
      </c>
      <c r="I92" t="str" cm="1">
        <f t="array" ref="I92">_xlfn.IFS(H92&lt;5000000, "Bronze",H92&lt;10000000, "Silver",H92&lt;20000000, "Gold", H92&gt;=20000000, "Diamond")</f>
        <v>Gold</v>
      </c>
    </row>
    <row r="93" spans="1:9" x14ac:dyDescent="0.3">
      <c r="A93" s="17" t="s">
        <v>58</v>
      </c>
      <c r="B93">
        <v>7</v>
      </c>
      <c r="C93" s="15">
        <v>45679</v>
      </c>
      <c r="D93" s="15">
        <v>45921</v>
      </c>
      <c r="E93">
        <f ca="1">12*(YEAR(TODAY()) - YEAR(D93))+ (MONTH(TODAY()) - MONTH(D93))</f>
        <v>7</v>
      </c>
      <c r="F93">
        <f>IF((12 * (YEAR(D93) - YEAR(C93)) + (MONTH(D93) - MONTH(C93))) = 0, B93, B93 / (12 * (YEAR(D93) - YEAR(C93)) + (MONTH(D93) - MONTH(C93))))</f>
        <v>0.875</v>
      </c>
      <c r="G93" t="str" cm="1">
        <f t="array" aca="1" ref="G93" ca="1">IFERROR(_xlfn.IFS(B93/(MAX(1, 12*(YEAR(D93)-YEAR(C93)) + (MONTH(D93)-MONTH(C93)))) &gt;= 2, "Loyal",D93 &gt;= EDATE(TODAY(), -3), "Aktif",TRUE, "Pasif"),"Pasif")</f>
        <v>Pasif</v>
      </c>
      <c r="H93" s="11">
        <v>12000000</v>
      </c>
      <c r="I93" t="str" cm="1">
        <f t="array" ref="I93">_xlfn.IFS(H93&lt;5000000, "Bronze",H93&lt;10000000, "Silver",H93&lt;20000000, "Gold", H93&gt;=20000000, "Diamond")</f>
        <v>Gold</v>
      </c>
    </row>
    <row r="94" spans="1:9" x14ac:dyDescent="0.3">
      <c r="A94" s="17" t="s">
        <v>41</v>
      </c>
      <c r="B94">
        <v>8</v>
      </c>
      <c r="C94" s="15">
        <v>45662</v>
      </c>
      <c r="D94" s="15">
        <v>45922</v>
      </c>
      <c r="E94">
        <f ca="1">12*(YEAR(TODAY()) - YEAR(D94))+ (MONTH(TODAY()) - MONTH(D94))</f>
        <v>7</v>
      </c>
      <c r="F94">
        <f>IF((12 * (YEAR(D94) - YEAR(C94)) + (MONTH(D94) - MONTH(C94))) = 0, B94, B94 / (12 * (YEAR(D94) - YEAR(C94)) + (MONTH(D94) - MONTH(C94))))</f>
        <v>1</v>
      </c>
      <c r="G94" t="str" cm="1">
        <f t="array" aca="1" ref="G94" ca="1">IFERROR(_xlfn.IFS(B94/(MAX(1, 12*(YEAR(D94)-YEAR(C94)) + (MONTH(D94)-MONTH(C94)))) &gt;= 2, "Loyal",D94 &gt;= EDATE(TODAY(), -3), "Aktif",TRUE, "Pasif"),"Pasif")</f>
        <v>Pasif</v>
      </c>
      <c r="H94" s="11">
        <v>10400000</v>
      </c>
      <c r="I94" t="str" cm="1">
        <f t="array" ref="I94">_xlfn.IFS(H94&lt;5000000, "Bronze",H94&lt;10000000, "Silver",H94&lt;20000000, "Gold", H94&gt;=20000000, "Diamond")</f>
        <v>Gold</v>
      </c>
    </row>
    <row r="95" spans="1:9" x14ac:dyDescent="0.3">
      <c r="A95" s="17" t="s">
        <v>53</v>
      </c>
      <c r="B95">
        <v>4</v>
      </c>
      <c r="C95" s="15">
        <v>45750</v>
      </c>
      <c r="D95" s="15">
        <v>45797</v>
      </c>
      <c r="E95">
        <f ca="1">12*(YEAR(TODAY()) - YEAR(D95))+ (MONTH(TODAY()) - MONTH(D95))</f>
        <v>11</v>
      </c>
      <c r="F95">
        <f>IF((12 * (YEAR(D95) - YEAR(C95)) + (MONTH(D95) - MONTH(C95))) = 0, B95, B95 / (12 * (YEAR(D95) - YEAR(C95)) + (MONTH(D95) - MONTH(C95))))</f>
        <v>4</v>
      </c>
      <c r="G95" t="str" cm="1">
        <f t="array" aca="1" ref="G95" ca="1">IFERROR(_xlfn.IFS(B95/(MAX(1, 12*(YEAR(D95)-YEAR(C95)) + (MONTH(D95)-MONTH(C95)))) &gt;= 2, "Loyal",D95 &gt;= EDATE(TODAY(), -3), "Aktif",TRUE, "Pasif"),"Pasif")</f>
        <v>Loyal</v>
      </c>
      <c r="H95" s="11">
        <v>10350000</v>
      </c>
      <c r="I95" t="str" cm="1">
        <f t="array" ref="I95">_xlfn.IFS(H95&lt;5000000, "Bronze",H95&lt;10000000, "Silver",H95&lt;20000000, "Gold", H95&gt;=20000000, "Diamond")</f>
        <v>Gold</v>
      </c>
    </row>
    <row r="96" spans="1:9" x14ac:dyDescent="0.3">
      <c r="A96" s="17" t="s">
        <v>60</v>
      </c>
      <c r="B96">
        <v>9</v>
      </c>
      <c r="C96" s="15">
        <v>45687</v>
      </c>
      <c r="D96" s="15">
        <v>45865</v>
      </c>
      <c r="E96">
        <f ca="1">12*(YEAR(TODAY()) - YEAR(D96))+ (MONTH(TODAY()) - MONTH(D96))</f>
        <v>9</v>
      </c>
      <c r="F96">
        <f>IF((12 * (YEAR(D96) - YEAR(C96)) + (MONTH(D96) - MONTH(C96))) = 0, B96, B96 / (12 * (YEAR(D96) - YEAR(C96)) + (MONTH(D96) - MONTH(C96))))</f>
        <v>1.5</v>
      </c>
      <c r="G96" t="str" cm="1">
        <f t="array" aca="1" ref="G96" ca="1">IFERROR(_xlfn.IFS(B96/(MAX(1, 12*(YEAR(D96)-YEAR(C96)) + (MONTH(D96)-MONTH(C96)))) &gt;= 2, "Loyal",D96 &gt;= EDATE(TODAY(), -3), "Aktif",TRUE, "Pasif"),"Pasif")</f>
        <v>Pasif</v>
      </c>
      <c r="H96" s="11">
        <v>9150000</v>
      </c>
      <c r="I96" t="str" cm="1">
        <f t="array" ref="I96">_xlfn.IFS(H96&lt;5000000, "Bronze",H96&lt;10000000, "Silver",H96&lt;20000000, "Gold", H96&gt;=20000000, "Diamond")</f>
        <v>Silver</v>
      </c>
    </row>
    <row r="97" spans="1:9" x14ac:dyDescent="0.3">
      <c r="A97" s="17" t="s">
        <v>12</v>
      </c>
      <c r="B97">
        <v>8</v>
      </c>
      <c r="C97" s="15">
        <v>45708</v>
      </c>
      <c r="D97" s="15">
        <v>45918</v>
      </c>
      <c r="E97">
        <f ca="1">12*(YEAR(TODAY()) - YEAR(D97))+ (MONTH(TODAY()) - MONTH(D97))</f>
        <v>7</v>
      </c>
      <c r="F97">
        <f>IF((12 * (YEAR(D97) - YEAR(C97)) + (MONTH(D97) - MONTH(C97))) = 0, B97, B97 / (12 * (YEAR(D97) - YEAR(C97)) + (MONTH(D97) - MONTH(C97))))</f>
        <v>1.1428571428571428</v>
      </c>
      <c r="G97" t="str" cm="1">
        <f t="array" aca="1" ref="G97" ca="1">IFERROR(_xlfn.IFS(B97/(MAX(1, 12*(YEAR(D97)-YEAR(C97)) + (MONTH(D97)-MONTH(C97)))) &gt;= 2, "Loyal",D97 &gt;= EDATE(TODAY(), -3), "Aktif",TRUE, "Pasif"),"Pasif")</f>
        <v>Pasif</v>
      </c>
      <c r="H97" s="11">
        <v>8900000</v>
      </c>
      <c r="I97" t="str" cm="1">
        <f t="array" ref="I97">_xlfn.IFS(H97&lt;5000000, "Bronze",H97&lt;10000000, "Silver",H97&lt;20000000, "Gold", H97&gt;=20000000, "Diamond")</f>
        <v>Silver</v>
      </c>
    </row>
    <row r="98" spans="1:9" x14ac:dyDescent="0.3">
      <c r="A98" s="17" t="s">
        <v>101</v>
      </c>
      <c r="B98">
        <v>7</v>
      </c>
      <c r="C98" s="15">
        <v>45678</v>
      </c>
      <c r="D98" s="15">
        <v>45931</v>
      </c>
      <c r="E98">
        <f ca="1">12*(YEAR(TODAY()) - YEAR(D98))+ (MONTH(TODAY()) - MONTH(D98))</f>
        <v>6</v>
      </c>
      <c r="F98">
        <f>IF((12 * (YEAR(D98) - YEAR(C98)) + (MONTH(D98) - MONTH(C98))) = 0, B98, B98 / (12 * (YEAR(D98) - YEAR(C98)) + (MONTH(D98) - MONTH(C98))))</f>
        <v>0.77777777777777779</v>
      </c>
      <c r="G98" t="str" cm="1">
        <f t="array" aca="1" ref="G98" ca="1">IFERROR(_xlfn.IFS(B98/(MAX(1, 12*(YEAR(D98)-YEAR(C98)) + (MONTH(D98)-MONTH(C98)))) &gt;= 2, "Loyal",D98 &gt;= EDATE(TODAY(), -3), "Aktif",TRUE, "Pasif"),"Pasif")</f>
        <v>Pasif</v>
      </c>
      <c r="H98" s="11">
        <v>8650000</v>
      </c>
      <c r="I98" t="str" cm="1">
        <f t="array" ref="I98">_xlfn.IFS(H98&lt;5000000, "Bronze",H98&lt;10000000, "Silver",H98&lt;20000000, "Gold", H98&gt;=20000000, "Diamond")</f>
        <v>Silver</v>
      </c>
    </row>
    <row r="99" spans="1:9" x14ac:dyDescent="0.3">
      <c r="A99" s="17" t="s">
        <v>62</v>
      </c>
      <c r="B99">
        <v>7</v>
      </c>
      <c r="C99" s="15">
        <v>45680</v>
      </c>
      <c r="D99" s="15">
        <v>45862</v>
      </c>
      <c r="E99">
        <f ca="1">12*(YEAR(TODAY()) - YEAR(D99))+ (MONTH(TODAY()) - MONTH(D99))</f>
        <v>9</v>
      </c>
      <c r="F99">
        <f>IF((12 * (YEAR(D99) - YEAR(C99)) + (MONTH(D99) - MONTH(C99))) = 0, B99, B99 / (12 * (YEAR(D99) - YEAR(C99)) + (MONTH(D99) - MONTH(C99))))</f>
        <v>1.1666666666666667</v>
      </c>
      <c r="G99" t="str" cm="1">
        <f t="array" aca="1" ref="G99" ca="1">IFERROR(_xlfn.IFS(B99/(MAX(1, 12*(YEAR(D99)-YEAR(C99)) + (MONTH(D99)-MONTH(C99)))) &gt;= 2, "Loyal",D99 &gt;= EDATE(TODAY(), -3), "Aktif",TRUE, "Pasif"),"Pasif")</f>
        <v>Pasif</v>
      </c>
      <c r="H99" s="11">
        <v>7850000</v>
      </c>
      <c r="I99" t="str" cm="1">
        <f t="array" ref="I99">_xlfn.IFS(H99&lt;5000000, "Bronze",H99&lt;10000000, "Silver",H99&lt;20000000, "Gold", H99&gt;=20000000, "Diamond")</f>
        <v>Silver</v>
      </c>
    </row>
    <row r="100" spans="1:9" x14ac:dyDescent="0.3">
      <c r="A100" s="17" t="s">
        <v>54</v>
      </c>
      <c r="B100">
        <v>6</v>
      </c>
      <c r="C100" s="15">
        <v>45660</v>
      </c>
      <c r="D100" s="15">
        <v>45810</v>
      </c>
      <c r="E100">
        <f ca="1">12*(YEAR(TODAY()) - YEAR(D100))+ (MONTH(TODAY()) - MONTH(D100))</f>
        <v>10</v>
      </c>
      <c r="F100">
        <f>IF((12 * (YEAR(D100) - YEAR(C100)) + (MONTH(D100) - MONTH(C100))) = 0, B100, B100 / (12 * (YEAR(D100) - YEAR(C100)) + (MONTH(D100) - MONTH(C100))))</f>
        <v>1.2</v>
      </c>
      <c r="G100" t="str" cm="1">
        <f t="array" aca="1" ref="G100" ca="1">IFERROR(_xlfn.IFS(B100/(MAX(1, 12*(YEAR(D100)-YEAR(C100)) + (MONTH(D100)-MONTH(C100)))) &gt;= 2, "Loyal",D100 &gt;= EDATE(TODAY(), -3), "Aktif",TRUE, "Pasif"),"Pasif")</f>
        <v>Pasif</v>
      </c>
      <c r="H100" s="11">
        <v>7500000</v>
      </c>
      <c r="I100" t="str" cm="1">
        <f t="array" ref="I100">_xlfn.IFS(H100&lt;5000000, "Bronze",H100&lt;10000000, "Silver",H100&lt;20000000, "Gold", H100&gt;=20000000, "Diamond")</f>
        <v>Silver</v>
      </c>
    </row>
    <row r="101" spans="1:9" x14ac:dyDescent="0.3">
      <c r="A101" s="17" t="s">
        <v>49</v>
      </c>
      <c r="B101">
        <v>6</v>
      </c>
      <c r="C101" s="15">
        <v>45719</v>
      </c>
      <c r="D101" s="15">
        <v>45920</v>
      </c>
      <c r="E101">
        <f ca="1">12*(YEAR(TODAY()) - YEAR(D101))+ (MONTH(TODAY()) - MONTH(D101))</f>
        <v>7</v>
      </c>
      <c r="F101">
        <f>IF((12 * (YEAR(D101) - YEAR(C101)) + (MONTH(D101) - MONTH(C101))) = 0, B101, B101 / (12 * (YEAR(D101) - YEAR(C101)) + (MONTH(D101) - MONTH(C101))))</f>
        <v>1</v>
      </c>
      <c r="G101" t="str" cm="1">
        <f t="array" aca="1" ref="G101" ca="1">IFERROR(_xlfn.IFS(B101/(MAX(1, 12*(YEAR(D101)-YEAR(C101)) + (MONTH(D101)-MONTH(C101)))) &gt;= 2, "Loyal",D101 &gt;= EDATE(TODAY(), -3), "Aktif",TRUE, "Pasif"),"Pasif")</f>
        <v>Pasif</v>
      </c>
      <c r="H101" s="11">
        <v>3050000</v>
      </c>
      <c r="I101" t="str" cm="1">
        <f t="array" ref="I101">_xlfn.IFS(H101&lt;5000000, "Bronze",H101&lt;10000000, "Silver",H101&lt;20000000, "Gold", H101&gt;=20000000, "Diamond")</f>
        <v>Bronze</v>
      </c>
    </row>
    <row r="105" spans="1:9" x14ac:dyDescent="0.3">
      <c r="D105" s="20">
        <v>135600000</v>
      </c>
    </row>
    <row r="106" spans="1:9" x14ac:dyDescent="0.3">
      <c r="D106" s="21">
        <v>115650000</v>
      </c>
    </row>
    <row r="107" spans="1:9" x14ac:dyDescent="0.3">
      <c r="D107" s="20">
        <v>97200000</v>
      </c>
    </row>
    <row r="108" spans="1:9" x14ac:dyDescent="0.3">
      <c r="D108" s="21">
        <v>86000000</v>
      </c>
      <c r="F108" s="18"/>
    </row>
    <row r="109" spans="1:9" x14ac:dyDescent="0.3">
      <c r="D109" s="20">
        <v>86000000</v>
      </c>
    </row>
    <row r="110" spans="1:9" x14ac:dyDescent="0.3">
      <c r="D110" s="21">
        <v>84750000</v>
      </c>
      <c r="F110" t="s">
        <v>336</v>
      </c>
    </row>
    <row r="111" spans="1:9" x14ac:dyDescent="0.3">
      <c r="D111" s="20">
        <v>73750000</v>
      </c>
    </row>
    <row r="112" spans="1:9" x14ac:dyDescent="0.3">
      <c r="D112" s="21">
        <v>73400000</v>
      </c>
    </row>
    <row r="113" spans="4:4" x14ac:dyDescent="0.3">
      <c r="D113" s="20">
        <v>67900000</v>
      </c>
    </row>
    <row r="114" spans="4:4" x14ac:dyDescent="0.3">
      <c r="D114" s="21">
        <v>66400000</v>
      </c>
    </row>
    <row r="115" spans="4:4" x14ac:dyDescent="0.3">
      <c r="D115" s="11">
        <f>SUM(D105:D114)</f>
        <v>886650000</v>
      </c>
    </row>
    <row r="118" spans="4:4" x14ac:dyDescent="0.3">
      <c r="D118" s="18"/>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A74D1-9815-49B9-ADC9-7F6E0774A827}">
  <dimension ref="A3:B8"/>
  <sheetViews>
    <sheetView workbookViewId="0">
      <selection activeCell="G19" sqref="G19"/>
    </sheetView>
  </sheetViews>
  <sheetFormatPr defaultRowHeight="14.4" x14ac:dyDescent="0.3"/>
  <cols>
    <col min="1" max="1" width="16.21875" bestFit="1" customWidth="1"/>
    <col min="2" max="3" width="23.88671875" bestFit="1" customWidth="1"/>
    <col min="4" max="4" width="17.44140625" bestFit="1" customWidth="1"/>
    <col min="5" max="5" width="16.33203125" bestFit="1" customWidth="1"/>
    <col min="6" max="6" width="19" bestFit="1" customWidth="1"/>
  </cols>
  <sheetData>
    <row r="3" spans="1:2" x14ac:dyDescent="0.3">
      <c r="A3" s="7" t="s">
        <v>319</v>
      </c>
      <c r="B3" t="s">
        <v>321</v>
      </c>
    </row>
    <row r="4" spans="1:2" x14ac:dyDescent="0.3">
      <c r="A4" s="8" t="s">
        <v>318</v>
      </c>
      <c r="B4" s="18">
        <v>1</v>
      </c>
    </row>
    <row r="5" spans="1:2" x14ac:dyDescent="0.3">
      <c r="A5" s="8" t="s">
        <v>315</v>
      </c>
      <c r="B5" s="18">
        <v>85</v>
      </c>
    </row>
    <row r="6" spans="1:2" x14ac:dyDescent="0.3">
      <c r="A6" s="8" t="s">
        <v>317</v>
      </c>
      <c r="B6" s="18">
        <v>9</v>
      </c>
    </row>
    <row r="7" spans="1:2" x14ac:dyDescent="0.3">
      <c r="A7" s="8" t="s">
        <v>316</v>
      </c>
      <c r="B7" s="18">
        <v>5</v>
      </c>
    </row>
    <row r="8" spans="1:2" x14ac:dyDescent="0.3">
      <c r="A8" s="8" t="s">
        <v>306</v>
      </c>
      <c r="B8" s="18">
        <v>100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7F0FA-ED9C-4E41-9DBC-30B5837C5330}">
  <dimension ref="A3:B7"/>
  <sheetViews>
    <sheetView workbookViewId="0">
      <selection activeCell="J17" sqref="J17"/>
    </sheetView>
  </sheetViews>
  <sheetFormatPr defaultRowHeight="14.4" x14ac:dyDescent="0.3"/>
  <cols>
    <col min="1" max="1" width="16.21875" bestFit="1" customWidth="1"/>
    <col min="2" max="2" width="23.88671875" bestFit="1" customWidth="1"/>
    <col min="3" max="3" width="5.44140625" bestFit="1" customWidth="1"/>
    <col min="4" max="4" width="5" bestFit="1" customWidth="1"/>
    <col min="5" max="5" width="16.21875" bestFit="1" customWidth="1"/>
    <col min="6" max="6" width="15.6640625" bestFit="1" customWidth="1"/>
    <col min="7" max="7" width="17.5546875" bestFit="1" customWidth="1"/>
    <col min="8" max="8" width="13.5546875" bestFit="1" customWidth="1"/>
    <col min="9" max="9" width="17.77734375" bestFit="1" customWidth="1"/>
    <col min="10" max="10" width="23.5546875" bestFit="1" customWidth="1"/>
    <col min="11" max="11" width="12.33203125" bestFit="1" customWidth="1"/>
    <col min="12" max="12" width="18.33203125" bestFit="1" customWidth="1"/>
    <col min="13" max="13" width="15.88671875" bestFit="1" customWidth="1"/>
    <col min="14" max="14" width="16.77734375" bestFit="1" customWidth="1"/>
    <col min="15" max="15" width="13.77734375" bestFit="1" customWidth="1"/>
    <col min="16" max="16" width="20.44140625" bestFit="1" customWidth="1"/>
    <col min="17" max="17" width="21" bestFit="1" customWidth="1"/>
    <col min="18" max="18" width="16.6640625" bestFit="1" customWidth="1"/>
    <col min="19" max="19" width="18.5546875" bestFit="1" customWidth="1"/>
    <col min="20" max="20" width="27.88671875" bestFit="1" customWidth="1"/>
    <col min="21" max="21" width="19.77734375" bestFit="1" customWidth="1"/>
    <col min="22" max="22" width="16.33203125" bestFit="1" customWidth="1"/>
    <col min="23" max="23" width="25.6640625" bestFit="1" customWidth="1"/>
    <col min="24" max="24" width="12" bestFit="1" customWidth="1"/>
    <col min="25" max="25" width="12.44140625" bestFit="1" customWidth="1"/>
    <col min="26" max="26" width="11.6640625" bestFit="1" customWidth="1"/>
    <col min="27" max="27" width="10.5546875" bestFit="1" customWidth="1"/>
    <col min="28" max="28" width="13.6640625" bestFit="1" customWidth="1"/>
    <col min="29" max="29" width="15.21875" bestFit="1" customWidth="1"/>
    <col min="30" max="30" width="18" bestFit="1" customWidth="1"/>
    <col min="31" max="31" width="12.77734375" bestFit="1" customWidth="1"/>
    <col min="32" max="32" width="15.109375" bestFit="1" customWidth="1"/>
    <col min="33" max="33" width="17.5546875" bestFit="1" customWidth="1"/>
    <col min="34" max="34" width="19.77734375" bestFit="1" customWidth="1"/>
    <col min="35" max="35" width="18.88671875" bestFit="1" customWidth="1"/>
    <col min="36" max="36" width="14.5546875" bestFit="1" customWidth="1"/>
    <col min="37" max="37" width="18.33203125" bestFit="1" customWidth="1"/>
    <col min="38" max="38" width="22.5546875" bestFit="1" customWidth="1"/>
    <col min="39" max="39" width="18.6640625" bestFit="1" customWidth="1"/>
    <col min="40" max="40" width="23.5546875" bestFit="1" customWidth="1"/>
    <col min="41" max="41" width="26.6640625" bestFit="1" customWidth="1"/>
    <col min="42" max="42" width="23.77734375" bestFit="1" customWidth="1"/>
    <col min="43" max="43" width="12.6640625" bestFit="1" customWidth="1"/>
    <col min="44" max="44" width="10.5546875" bestFit="1" customWidth="1"/>
    <col min="45" max="45" width="18.33203125" bestFit="1" customWidth="1"/>
    <col min="46" max="46" width="9.44140625" bestFit="1" customWidth="1"/>
    <col min="47" max="47" width="10.88671875" bestFit="1" customWidth="1"/>
    <col min="48" max="48" width="12.88671875" bestFit="1" customWidth="1"/>
    <col min="49" max="49" width="12.77734375" bestFit="1" customWidth="1"/>
    <col min="50" max="50" width="13.77734375" bestFit="1" customWidth="1"/>
    <col min="51" max="51" width="13.5546875" bestFit="1" customWidth="1"/>
    <col min="52" max="52" width="14" bestFit="1" customWidth="1"/>
    <col min="53" max="53" width="12" bestFit="1" customWidth="1"/>
    <col min="54" max="54" width="17" bestFit="1" customWidth="1"/>
    <col min="55" max="55" width="14.44140625" bestFit="1" customWidth="1"/>
    <col min="56" max="56" width="13.5546875" bestFit="1" customWidth="1"/>
    <col min="57" max="57" width="13.33203125" bestFit="1" customWidth="1"/>
    <col min="58" max="58" width="14.21875" bestFit="1" customWidth="1"/>
    <col min="59" max="59" width="14.33203125" bestFit="1" customWidth="1"/>
    <col min="60" max="60" width="13.44140625" bestFit="1" customWidth="1"/>
    <col min="61" max="61" width="13.77734375" bestFit="1" customWidth="1"/>
    <col min="62" max="62" width="15.88671875" bestFit="1" customWidth="1"/>
    <col min="63" max="63" width="18.44140625" bestFit="1" customWidth="1"/>
    <col min="64" max="64" width="16.109375" bestFit="1" customWidth="1"/>
    <col min="65" max="65" width="12.109375" bestFit="1" customWidth="1"/>
    <col min="66" max="66" width="22.6640625" bestFit="1" customWidth="1"/>
    <col min="67" max="67" width="19.109375" bestFit="1" customWidth="1"/>
    <col min="68" max="68" width="19.88671875" bestFit="1" customWidth="1"/>
    <col min="69" max="69" width="19.77734375" bestFit="1" customWidth="1"/>
    <col min="70" max="70" width="22.5546875" bestFit="1" customWidth="1"/>
    <col min="71" max="71" width="16.88671875" bestFit="1" customWidth="1"/>
    <col min="72" max="72" width="22.44140625" bestFit="1" customWidth="1"/>
    <col min="73" max="73" width="14.44140625" bestFit="1" customWidth="1"/>
    <col min="74" max="74" width="22.6640625" bestFit="1" customWidth="1"/>
    <col min="75" max="75" width="14" bestFit="1" customWidth="1"/>
    <col min="76" max="76" width="11.5546875" bestFit="1" customWidth="1"/>
    <col min="77" max="77" width="18.33203125" bestFit="1" customWidth="1"/>
    <col min="78" max="78" width="12.33203125" bestFit="1" customWidth="1"/>
    <col min="79" max="79" width="10.6640625" bestFit="1" customWidth="1"/>
    <col min="80" max="80" width="24.109375" bestFit="1" customWidth="1"/>
    <col min="81" max="81" width="25.44140625" bestFit="1" customWidth="1"/>
    <col min="82" max="82" width="18.5546875" bestFit="1" customWidth="1"/>
    <col min="83" max="83" width="12.33203125" bestFit="1" customWidth="1"/>
    <col min="84" max="84" width="17" bestFit="1" customWidth="1"/>
    <col min="85" max="85" width="22.5546875" bestFit="1" customWidth="1"/>
    <col min="86" max="86" width="24.88671875" bestFit="1" customWidth="1"/>
    <col min="87" max="87" width="17.88671875" bestFit="1" customWidth="1"/>
    <col min="88" max="88" width="15.109375" bestFit="1" customWidth="1"/>
    <col min="89" max="89" width="13.44140625" bestFit="1" customWidth="1"/>
    <col min="90" max="90" width="13.88671875" bestFit="1" customWidth="1"/>
    <col min="91" max="92" width="12.44140625" bestFit="1" customWidth="1"/>
    <col min="93" max="93" width="12.88671875" bestFit="1" customWidth="1"/>
    <col min="94" max="94" width="14.109375" bestFit="1" customWidth="1"/>
    <col min="95" max="95" width="14.5546875" bestFit="1" customWidth="1"/>
    <col min="96" max="96" width="13.88671875" bestFit="1" customWidth="1"/>
    <col min="97" max="97" width="11.109375" bestFit="1" customWidth="1"/>
    <col min="98" max="98" width="12.6640625" bestFit="1" customWidth="1"/>
    <col min="99" max="99" width="14.77734375" bestFit="1" customWidth="1"/>
    <col min="100" max="100" width="19.21875" bestFit="1" customWidth="1"/>
    <col min="101" max="101" width="10.88671875" bestFit="1" customWidth="1"/>
    <col min="102" max="102" width="16.21875" bestFit="1" customWidth="1"/>
  </cols>
  <sheetData>
    <row r="3" spans="1:2" x14ac:dyDescent="0.3">
      <c r="A3" s="7" t="s">
        <v>305</v>
      </c>
      <c r="B3" t="s">
        <v>321</v>
      </c>
    </row>
    <row r="4" spans="1:2" x14ac:dyDescent="0.3">
      <c r="A4" s="8" t="s">
        <v>322</v>
      </c>
      <c r="B4" s="18">
        <v>74</v>
      </c>
    </row>
    <row r="5" spans="1:2" x14ac:dyDescent="0.3">
      <c r="A5" s="8" t="s">
        <v>323</v>
      </c>
      <c r="B5" s="18">
        <v>13</v>
      </c>
    </row>
    <row r="6" spans="1:2" x14ac:dyDescent="0.3">
      <c r="A6" s="8" t="s">
        <v>324</v>
      </c>
      <c r="B6" s="18">
        <v>13</v>
      </c>
    </row>
    <row r="7" spans="1:2" x14ac:dyDescent="0.3">
      <c r="A7" s="8" t="s">
        <v>306</v>
      </c>
      <c r="B7" s="18">
        <v>100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22F28-1D62-4EA6-96AF-53CEB20F69BE}">
  <dimension ref="A3:B13"/>
  <sheetViews>
    <sheetView topLeftCell="B1" workbookViewId="0">
      <selection activeCell="H15" sqref="H15"/>
    </sheetView>
  </sheetViews>
  <sheetFormatPr defaultRowHeight="14.4" x14ac:dyDescent="0.3"/>
  <cols>
    <col min="1" max="1" width="22.77734375" bestFit="1" customWidth="1"/>
    <col min="2" max="2" width="28.77734375" bestFit="1" customWidth="1"/>
    <col min="3" max="7" width="16.33203125" bestFit="1" customWidth="1"/>
    <col min="8" max="9" width="17.44140625" bestFit="1" customWidth="1"/>
    <col min="10" max="10" width="17.6640625" bestFit="1" customWidth="1"/>
  </cols>
  <sheetData>
    <row r="3" spans="1:2" x14ac:dyDescent="0.3">
      <c r="A3" s="7" t="s">
        <v>305</v>
      </c>
      <c r="B3" t="s">
        <v>335</v>
      </c>
    </row>
    <row r="4" spans="1:2" x14ac:dyDescent="0.3">
      <c r="A4" s="8" t="s">
        <v>78</v>
      </c>
      <c r="B4" s="11">
        <v>115650000</v>
      </c>
    </row>
    <row r="5" spans="1:2" x14ac:dyDescent="0.3">
      <c r="A5" s="8" t="s">
        <v>35</v>
      </c>
      <c r="B5" s="11">
        <v>97200000</v>
      </c>
    </row>
    <row r="6" spans="1:2" x14ac:dyDescent="0.3">
      <c r="A6" s="8" t="s">
        <v>17</v>
      </c>
      <c r="B6" s="11">
        <v>86000000</v>
      </c>
    </row>
    <row r="7" spans="1:2" x14ac:dyDescent="0.3">
      <c r="A7" s="8" t="s">
        <v>22</v>
      </c>
      <c r="B7" s="11">
        <v>67900000</v>
      </c>
    </row>
    <row r="8" spans="1:2" x14ac:dyDescent="0.3">
      <c r="A8" s="8" t="s">
        <v>81</v>
      </c>
      <c r="B8" s="11">
        <v>86000000</v>
      </c>
    </row>
    <row r="9" spans="1:2" x14ac:dyDescent="0.3">
      <c r="A9" s="8" t="s">
        <v>31</v>
      </c>
      <c r="B9" s="11">
        <v>73400000</v>
      </c>
    </row>
    <row r="10" spans="1:2" x14ac:dyDescent="0.3">
      <c r="A10" s="8" t="s">
        <v>30</v>
      </c>
      <c r="B10" s="11">
        <v>135600000</v>
      </c>
    </row>
    <row r="11" spans="1:2" x14ac:dyDescent="0.3">
      <c r="A11" s="8" t="s">
        <v>15</v>
      </c>
      <c r="B11" s="11">
        <v>84750000</v>
      </c>
    </row>
    <row r="12" spans="1:2" x14ac:dyDescent="0.3">
      <c r="A12" s="8" t="s">
        <v>14</v>
      </c>
      <c r="B12" s="11">
        <v>73750000</v>
      </c>
    </row>
    <row r="13" spans="1:2" x14ac:dyDescent="0.3">
      <c r="A13" s="8" t="s">
        <v>306</v>
      </c>
      <c r="B13" s="11">
        <v>820250000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0B865-110B-40CB-9813-4E4EDDA85B27}">
  <dimension ref="A1"/>
  <sheetViews>
    <sheetView zoomScale="69" zoomScaleNormal="82" workbookViewId="0">
      <selection activeCell="V32" sqref="V3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C8852-70A5-494B-BE7D-2398945518B0}">
  <dimension ref="A1:B19"/>
  <sheetViews>
    <sheetView tabSelected="1" zoomScale="58" workbookViewId="0">
      <selection activeCell="B19" sqref="B19"/>
    </sheetView>
  </sheetViews>
  <sheetFormatPr defaultColWidth="11.5546875" defaultRowHeight="14.4" x14ac:dyDescent="0.3"/>
  <cols>
    <col min="1" max="1" width="76.77734375" bestFit="1" customWidth="1"/>
    <col min="2" max="2" width="57.44140625" bestFit="1" customWidth="1"/>
    <col min="4" max="4" width="61" customWidth="1"/>
    <col min="5" max="5" width="45.6640625" bestFit="1" customWidth="1"/>
  </cols>
  <sheetData>
    <row r="1" spans="1:2" ht="21" x14ac:dyDescent="0.4">
      <c r="A1" s="23" t="s">
        <v>325</v>
      </c>
      <c r="B1" s="22" t="s">
        <v>326</v>
      </c>
    </row>
    <row r="2" spans="1:2" ht="21" x14ac:dyDescent="0.4">
      <c r="A2" s="23"/>
      <c r="B2" s="22" t="s">
        <v>327</v>
      </c>
    </row>
    <row r="3" spans="1:2" ht="21" x14ac:dyDescent="0.4">
      <c r="A3" s="23"/>
      <c r="B3" s="22" t="s">
        <v>328</v>
      </c>
    </row>
    <row r="4" spans="1:2" ht="21" x14ac:dyDescent="0.4">
      <c r="A4" s="23"/>
      <c r="B4" s="22" t="s">
        <v>329</v>
      </c>
    </row>
    <row r="5" spans="1:2" ht="21" x14ac:dyDescent="0.4">
      <c r="A5" s="23" t="s">
        <v>330</v>
      </c>
      <c r="B5" s="22" t="s">
        <v>331</v>
      </c>
    </row>
    <row r="6" spans="1:2" ht="21" x14ac:dyDescent="0.4">
      <c r="A6" s="23"/>
      <c r="B6" s="22" t="s">
        <v>332</v>
      </c>
    </row>
    <row r="7" spans="1:2" ht="21" x14ac:dyDescent="0.4">
      <c r="A7" s="23"/>
      <c r="B7" s="22" t="s">
        <v>333</v>
      </c>
    </row>
    <row r="8" spans="1:2" ht="21" x14ac:dyDescent="0.4">
      <c r="A8" s="22" t="s">
        <v>334</v>
      </c>
      <c r="B8" s="22"/>
    </row>
    <row r="10" spans="1:2" ht="14.4" customHeight="1" x14ac:dyDescent="0.45">
      <c r="A10" s="19"/>
    </row>
    <row r="11" spans="1:2" ht="14.4" customHeight="1" x14ac:dyDescent="0.45">
      <c r="A11" s="19"/>
    </row>
    <row r="12" spans="1:2" ht="14.4" customHeight="1" x14ac:dyDescent="0.45">
      <c r="A12" s="19"/>
    </row>
    <row r="13" spans="1:2" ht="14.4" customHeight="1" x14ac:dyDescent="0.45">
      <c r="A13" s="19"/>
    </row>
    <row r="14" spans="1:2" ht="14.4" customHeight="1" x14ac:dyDescent="0.45">
      <c r="A14" s="19"/>
    </row>
    <row r="15" spans="1:2" ht="14.4" customHeight="1" x14ac:dyDescent="0.45">
      <c r="A15" s="19"/>
    </row>
    <row r="16" spans="1:2" ht="14.4" customHeight="1" x14ac:dyDescent="0.45">
      <c r="A16" s="19"/>
    </row>
    <row r="17" spans="1:1" ht="14.4" customHeight="1" x14ac:dyDescent="0.45">
      <c r="A17" s="19"/>
    </row>
    <row r="18" spans="1:1" ht="14.4" customHeight="1" x14ac:dyDescent="0.45">
      <c r="A18" s="19"/>
    </row>
    <row r="19" spans="1:1" ht="90" customHeight="1" x14ac:dyDescent="0.45">
      <c r="A19" s="19"/>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Lembar kerja</vt:lpstr>
      </vt:variant>
      <vt:variant>
        <vt:i4>7</vt:i4>
      </vt:variant>
    </vt:vector>
  </HeadingPairs>
  <TitlesOfParts>
    <vt:vector size="7" baseType="lpstr">
      <vt:lpstr>Data</vt:lpstr>
      <vt:lpstr>Buat Pivot</vt:lpstr>
      <vt:lpstr> Kelompok Total Nominal</vt:lpstr>
      <vt:lpstr>Kelompok Total Frekuensi</vt:lpstr>
      <vt:lpstr>10 Besar Donatur</vt:lpstr>
      <vt:lpstr>Dashboard</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Azmi Taqiyudin</dc:creator>
  <cp:lastModifiedBy>AZMI TAQIYUDIN</cp:lastModifiedBy>
  <dcterms:created xsi:type="dcterms:W3CDTF">2025-10-04T04:19:20Z</dcterms:created>
  <dcterms:modified xsi:type="dcterms:W3CDTF">2026-04-02T18:41:10Z</dcterms:modified>
</cp:coreProperties>
</file>