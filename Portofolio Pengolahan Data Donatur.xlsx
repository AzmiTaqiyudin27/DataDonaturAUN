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F:\tes kerja\yayasan united tracktor\"/>
    </mc:Choice>
  </mc:AlternateContent>
  <xr:revisionPtr revIDLastSave="0" documentId="13_ncr:1_{4CF65FF7-FC17-436B-8FFC-C2E33F19D263}" xr6:coauthVersionLast="47" xr6:coauthVersionMax="47" xr10:uidLastSave="{00000000-0000-0000-0000-000000000000}"/>
  <bookViews>
    <workbookView xWindow="-108" yWindow="-108" windowWidth="23256" windowHeight="12456" tabRatio="739" activeTab="4" xr2:uid="{00000000-000D-0000-FFFF-FFFF00000000}"/>
  </bookViews>
  <sheets>
    <sheet name="Data" sheetId="1" r:id="rId1"/>
    <sheet name="Buat Pivot" sheetId="16" r:id="rId2"/>
    <sheet name=" Kelompok Total Nominal" sheetId="20" r:id="rId3"/>
    <sheet name="Kelompok Total Frekuensi" sheetId="21" r:id="rId4"/>
    <sheet name="Dashboard" sheetId="22" r:id="rId5"/>
  </sheets>
  <definedNames>
    <definedName name="NativeTimeline_Tanggal_Akhir">#N/A</definedName>
    <definedName name="NativeTimeline_Tanggal_Awal">#N/A</definedName>
    <definedName name="Pemotong_Frekuensi">#N/A</definedName>
    <definedName name="Pemotong_Jumlah_dari_Nominal1">#N/A</definedName>
    <definedName name="Pemotong_Kelompok1">#N/A</definedName>
    <definedName name="Pemotong_Nama_Donatur1">#N/A</definedName>
    <definedName name="Pemotong_Statu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1" i="16" l="1" a="1"/>
  <c r="I101" i="16" s="1"/>
  <c r="G101" i="16" a="1"/>
  <c r="G101" i="16" s="1"/>
  <c r="F101" i="16"/>
  <c r="E101" i="16"/>
  <c r="I100" i="16" a="1"/>
  <c r="I100" i="16" s="1"/>
  <c r="G100" i="16" a="1"/>
  <c r="G100" i="16" s="1"/>
  <c r="F100" i="16"/>
  <c r="E100" i="16"/>
  <c r="I99" i="16" a="1"/>
  <c r="I99" i="16" s="1"/>
  <c r="G99" i="16" a="1"/>
  <c r="G99" i="16" s="1"/>
  <c r="F99" i="16"/>
  <c r="E99" i="16"/>
  <c r="I98" i="16" a="1"/>
  <c r="I98" i="16" s="1"/>
  <c r="G98" i="16" a="1"/>
  <c r="G98" i="16" s="1"/>
  <c r="F98" i="16"/>
  <c r="E98" i="16"/>
  <c r="I97" i="16" a="1"/>
  <c r="I97" i="16" s="1"/>
  <c r="G97" i="16" a="1"/>
  <c r="G97" i="16" s="1"/>
  <c r="F97" i="16"/>
  <c r="E97" i="16"/>
  <c r="I96" i="16" a="1"/>
  <c r="I96" i="16" s="1"/>
  <c r="G96" i="16" a="1"/>
  <c r="G96" i="16" s="1"/>
  <c r="F96" i="16"/>
  <c r="E96" i="16"/>
  <c r="I95" i="16" a="1"/>
  <c r="I95" i="16" s="1"/>
  <c r="G95" i="16" a="1"/>
  <c r="G95" i="16" s="1"/>
  <c r="F95" i="16"/>
  <c r="E95" i="16"/>
  <c r="I94" i="16" a="1"/>
  <c r="I94" i="16" s="1"/>
  <c r="G94" i="16" a="1"/>
  <c r="G94" i="16" s="1"/>
  <c r="F94" i="16"/>
  <c r="E94" i="16"/>
  <c r="I93" i="16" a="1"/>
  <c r="I93" i="16" s="1"/>
  <c r="G93" i="16" a="1"/>
  <c r="G93" i="16" s="1"/>
  <c r="F93" i="16"/>
  <c r="E93" i="16"/>
  <c r="I92" i="16" a="1"/>
  <c r="I92" i="16" s="1"/>
  <c r="G92" i="16" a="1"/>
  <c r="G92" i="16" s="1"/>
  <c r="F92" i="16"/>
  <c r="E92" i="16"/>
  <c r="I91" i="16" a="1"/>
  <c r="I91" i="16" s="1"/>
  <c r="G91" i="16" a="1"/>
  <c r="G91" i="16" s="1"/>
  <c r="F91" i="16"/>
  <c r="E91" i="16"/>
  <c r="I90" i="16" a="1"/>
  <c r="I90" i="16" s="1"/>
  <c r="G90" i="16" a="1"/>
  <c r="G90" i="16" s="1"/>
  <c r="F90" i="16"/>
  <c r="E90" i="16"/>
  <c r="I89" i="16" a="1"/>
  <c r="I89" i="16" s="1"/>
  <c r="G89" i="16" a="1"/>
  <c r="G89" i="16" s="1"/>
  <c r="F89" i="16"/>
  <c r="E89" i="16"/>
  <c r="I88" i="16" a="1"/>
  <c r="I88" i="16" s="1"/>
  <c r="G88" i="16" a="1"/>
  <c r="G88" i="16" s="1"/>
  <c r="F88" i="16"/>
  <c r="E88" i="16"/>
  <c r="I87" i="16" a="1"/>
  <c r="I87" i="16" s="1"/>
  <c r="G87" i="16" a="1"/>
  <c r="G87" i="16" s="1"/>
  <c r="F87" i="16"/>
  <c r="E87" i="16"/>
  <c r="I86" i="16" a="1"/>
  <c r="I86" i="16" s="1"/>
  <c r="G86" i="16" a="1"/>
  <c r="G86" i="16" s="1"/>
  <c r="F86" i="16"/>
  <c r="E86" i="16"/>
  <c r="I85" i="16" a="1"/>
  <c r="I85" i="16" s="1"/>
  <c r="G85" i="16" a="1"/>
  <c r="G85" i="16" s="1"/>
  <c r="F85" i="16"/>
  <c r="E85" i="16"/>
  <c r="I84" i="16" a="1"/>
  <c r="I84" i="16" s="1"/>
  <c r="G84" i="16" a="1"/>
  <c r="G84" i="16" s="1"/>
  <c r="F84" i="16"/>
  <c r="E84" i="16"/>
  <c r="I83" i="16" a="1"/>
  <c r="I83" i="16" s="1"/>
  <c r="G83" i="16" a="1"/>
  <c r="G83" i="16" s="1"/>
  <c r="F83" i="16"/>
  <c r="E83" i="16"/>
  <c r="I82" i="16" a="1"/>
  <c r="I82" i="16" s="1"/>
  <c r="G82" i="16" a="1"/>
  <c r="G82" i="16" s="1"/>
  <c r="F82" i="16"/>
  <c r="E82" i="16"/>
  <c r="I81" i="16" a="1"/>
  <c r="I81" i="16" s="1"/>
  <c r="G81" i="16" a="1"/>
  <c r="G81" i="16" s="1"/>
  <c r="F81" i="16"/>
  <c r="E81" i="16"/>
  <c r="I80" i="16" a="1"/>
  <c r="I80" i="16" s="1"/>
  <c r="G80" i="16" a="1"/>
  <c r="G80" i="16" s="1"/>
  <c r="F80" i="16"/>
  <c r="E80" i="16"/>
  <c r="I79" i="16" a="1"/>
  <c r="I79" i="16" s="1"/>
  <c r="G79" i="16" a="1"/>
  <c r="G79" i="16" s="1"/>
  <c r="F79" i="16"/>
  <c r="E79" i="16"/>
  <c r="I78" i="16" a="1"/>
  <c r="I78" i="16" s="1"/>
  <c r="G78" i="16" a="1"/>
  <c r="G78" i="16" s="1"/>
  <c r="F78" i="16"/>
  <c r="E78" i="16"/>
  <c r="I77" i="16" a="1"/>
  <c r="I77" i="16" s="1"/>
  <c r="G77" i="16" a="1"/>
  <c r="G77" i="16" s="1"/>
  <c r="F77" i="16"/>
  <c r="E77" i="16"/>
  <c r="I76" i="16" a="1"/>
  <c r="I76" i="16" s="1"/>
  <c r="G76" i="16" a="1"/>
  <c r="G76" i="16" s="1"/>
  <c r="F76" i="16"/>
  <c r="E76" i="16"/>
  <c r="I75" i="16" a="1"/>
  <c r="I75" i="16" s="1"/>
  <c r="G75" i="16" a="1"/>
  <c r="G75" i="16" s="1"/>
  <c r="F75" i="16"/>
  <c r="E75" i="16"/>
  <c r="I74" i="16" a="1"/>
  <c r="I74" i="16" s="1"/>
  <c r="G74" i="16" a="1"/>
  <c r="G74" i="16" s="1"/>
  <c r="F74" i="16"/>
  <c r="E74" i="16"/>
  <c r="I73" i="16" a="1"/>
  <c r="I73" i="16" s="1"/>
  <c r="G73" i="16" a="1"/>
  <c r="G73" i="16" s="1"/>
  <c r="F73" i="16"/>
  <c r="E73" i="16"/>
  <c r="I72" i="16" a="1"/>
  <c r="I72" i="16" s="1"/>
  <c r="G72" i="16" a="1"/>
  <c r="G72" i="16" s="1"/>
  <c r="F72" i="16"/>
  <c r="E72" i="16"/>
  <c r="I71" i="16" a="1"/>
  <c r="I71" i="16" s="1"/>
  <c r="G71" i="16" a="1"/>
  <c r="G71" i="16" s="1"/>
  <c r="F71" i="16"/>
  <c r="E71" i="16"/>
  <c r="I70" i="16" a="1"/>
  <c r="I70" i="16" s="1"/>
  <c r="G70" i="16" a="1"/>
  <c r="G70" i="16" s="1"/>
  <c r="F70" i="16"/>
  <c r="E70" i="16"/>
  <c r="I69" i="16" a="1"/>
  <c r="I69" i="16" s="1"/>
  <c r="G69" i="16" a="1"/>
  <c r="G69" i="16" s="1"/>
  <c r="F69" i="16"/>
  <c r="E69" i="16"/>
  <c r="I68" i="16" a="1"/>
  <c r="I68" i="16" s="1"/>
  <c r="G68" i="16" a="1"/>
  <c r="G68" i="16" s="1"/>
  <c r="F68" i="16"/>
  <c r="E68" i="16"/>
  <c r="I67" i="16" a="1"/>
  <c r="I67" i="16" s="1"/>
  <c r="G67" i="16" a="1"/>
  <c r="G67" i="16" s="1"/>
  <c r="F67" i="16"/>
  <c r="E67" i="16"/>
  <c r="I66" i="16" a="1"/>
  <c r="I66" i="16" s="1"/>
  <c r="G66" i="16" a="1"/>
  <c r="G66" i="16" s="1"/>
  <c r="F66" i="16"/>
  <c r="E66" i="16"/>
  <c r="I65" i="16" a="1"/>
  <c r="I65" i="16" s="1"/>
  <c r="G65" i="16" a="1"/>
  <c r="G65" i="16" s="1"/>
  <c r="F65" i="16"/>
  <c r="E65" i="16"/>
  <c r="I64" i="16" a="1"/>
  <c r="I64" i="16" s="1"/>
  <c r="G64" i="16" a="1"/>
  <c r="G64" i="16" s="1"/>
  <c r="F64" i="16"/>
  <c r="E64" i="16"/>
  <c r="I63" i="16" a="1"/>
  <c r="I63" i="16" s="1"/>
  <c r="G63" i="16" a="1"/>
  <c r="G63" i="16" s="1"/>
  <c r="F63" i="16"/>
  <c r="E63" i="16"/>
  <c r="I62" i="16" a="1"/>
  <c r="I62" i="16" s="1"/>
  <c r="G62" i="16" a="1"/>
  <c r="G62" i="16" s="1"/>
  <c r="F62" i="16"/>
  <c r="E62" i="16"/>
  <c r="I61" i="16" a="1"/>
  <c r="I61" i="16" s="1"/>
  <c r="G61" i="16" a="1"/>
  <c r="G61" i="16" s="1"/>
  <c r="F61" i="16"/>
  <c r="E61" i="16"/>
  <c r="I60" i="16" a="1"/>
  <c r="I60" i="16" s="1"/>
  <c r="G60" i="16" a="1"/>
  <c r="G60" i="16" s="1"/>
  <c r="F60" i="16"/>
  <c r="E60" i="16"/>
  <c r="I59" i="16"/>
  <c r="I59" i="16" a="1"/>
  <c r="G59" i="16" a="1"/>
  <c r="G59" i="16" s="1"/>
  <c r="F59" i="16"/>
  <c r="E59" i="16"/>
  <c r="I58" i="16" a="1"/>
  <c r="I58" i="16" s="1"/>
  <c r="G58" i="16" a="1"/>
  <c r="G58" i="16" s="1"/>
  <c r="F58" i="16"/>
  <c r="E58" i="16"/>
  <c r="I57" i="16" a="1"/>
  <c r="I57" i="16" s="1"/>
  <c r="G57" i="16" a="1"/>
  <c r="G57" i="16" s="1"/>
  <c r="F57" i="16"/>
  <c r="E57" i="16"/>
  <c r="I56" i="16" a="1"/>
  <c r="I56" i="16" s="1"/>
  <c r="G56" i="16" a="1"/>
  <c r="G56" i="16" s="1"/>
  <c r="F56" i="16"/>
  <c r="E56" i="16"/>
  <c r="I55" i="16" a="1"/>
  <c r="I55" i="16" s="1"/>
  <c r="G55" i="16" a="1"/>
  <c r="G55" i="16" s="1"/>
  <c r="F55" i="16"/>
  <c r="E55" i="16"/>
  <c r="I54" i="16" a="1"/>
  <c r="I54" i="16" s="1"/>
  <c r="G54" i="16" a="1"/>
  <c r="G54" i="16" s="1"/>
  <c r="F54" i="16"/>
  <c r="E54" i="16"/>
  <c r="I53" i="16" a="1"/>
  <c r="I53" i="16" s="1"/>
  <c r="G53" i="16" a="1"/>
  <c r="G53" i="16" s="1"/>
  <c r="F53" i="16"/>
  <c r="E53" i="16"/>
  <c r="I52" i="16" a="1"/>
  <c r="I52" i="16" s="1"/>
  <c r="G52" i="16" a="1"/>
  <c r="G52" i="16" s="1"/>
  <c r="F52" i="16"/>
  <c r="E52" i="16"/>
  <c r="I51" i="16" a="1"/>
  <c r="I51" i="16" s="1"/>
  <c r="G51" i="16" a="1"/>
  <c r="G51" i="16" s="1"/>
  <c r="F51" i="16"/>
  <c r="E51" i="16"/>
  <c r="I50" i="16" a="1"/>
  <c r="I50" i="16" s="1"/>
  <c r="G50" i="16" a="1"/>
  <c r="G50" i="16" s="1"/>
  <c r="F50" i="16"/>
  <c r="E50" i="16"/>
  <c r="I49" i="16" a="1"/>
  <c r="I49" i="16" s="1"/>
  <c r="G49" i="16" a="1"/>
  <c r="G49" i="16" s="1"/>
  <c r="F49" i="16"/>
  <c r="E49" i="16"/>
  <c r="I48" i="16" a="1"/>
  <c r="I48" i="16" s="1"/>
  <c r="G48" i="16" a="1"/>
  <c r="G48" i="16" s="1"/>
  <c r="F48" i="16"/>
  <c r="E48" i="16"/>
  <c r="I47" i="16" a="1"/>
  <c r="I47" i="16" s="1"/>
  <c r="G47" i="16" a="1"/>
  <c r="G47" i="16" s="1"/>
  <c r="F47" i="16"/>
  <c r="E47" i="16"/>
  <c r="I46" i="16" a="1"/>
  <c r="I46" i="16" s="1"/>
  <c r="G46" i="16" a="1"/>
  <c r="G46" i="16" s="1"/>
  <c r="F46" i="16"/>
  <c r="E46" i="16"/>
  <c r="I45" i="16" a="1"/>
  <c r="I45" i="16" s="1"/>
  <c r="G45" i="16" a="1"/>
  <c r="G45" i="16" s="1"/>
  <c r="F45" i="16"/>
  <c r="E45" i="16"/>
  <c r="I44" i="16" a="1"/>
  <c r="I44" i="16" s="1"/>
  <c r="G44" i="16" a="1"/>
  <c r="G44" i="16" s="1"/>
  <c r="F44" i="16"/>
  <c r="E44" i="16"/>
  <c r="I43" i="16" a="1"/>
  <c r="I43" i="16" s="1"/>
  <c r="G43" i="16" a="1"/>
  <c r="G43" i="16" s="1"/>
  <c r="F43" i="16"/>
  <c r="E43" i="16"/>
  <c r="I42" i="16" a="1"/>
  <c r="I42" i="16" s="1"/>
  <c r="G42" i="16" a="1"/>
  <c r="G42" i="16" s="1"/>
  <c r="F42" i="16"/>
  <c r="E42" i="16"/>
  <c r="I41" i="16" a="1"/>
  <c r="I41" i="16" s="1"/>
  <c r="G41" i="16" a="1"/>
  <c r="G41" i="16" s="1"/>
  <c r="F41" i="16"/>
  <c r="E41" i="16"/>
  <c r="I40" i="16" a="1"/>
  <c r="I40" i="16" s="1"/>
  <c r="G40" i="16" a="1"/>
  <c r="G40" i="16" s="1"/>
  <c r="F40" i="16"/>
  <c r="E40" i="16"/>
  <c r="I39" i="16" a="1"/>
  <c r="I39" i="16" s="1"/>
  <c r="G39" i="16" a="1"/>
  <c r="G39" i="16" s="1"/>
  <c r="F39" i="16"/>
  <c r="E39" i="16"/>
  <c r="I38" i="16" a="1"/>
  <c r="I38" i="16" s="1"/>
  <c r="G38" i="16" a="1"/>
  <c r="G38" i="16" s="1"/>
  <c r="F38" i="16"/>
  <c r="E38" i="16"/>
  <c r="I37" i="16" a="1"/>
  <c r="I37" i="16" s="1"/>
  <c r="G37" i="16" a="1"/>
  <c r="G37" i="16" s="1"/>
  <c r="F37" i="16"/>
  <c r="E37" i="16"/>
  <c r="I36" i="16" a="1"/>
  <c r="I36" i="16" s="1"/>
  <c r="G36" i="16" a="1"/>
  <c r="G36" i="16" s="1"/>
  <c r="F36" i="16"/>
  <c r="E36" i="16"/>
  <c r="I35" i="16" a="1"/>
  <c r="I35" i="16" s="1"/>
  <c r="G35" i="16" a="1"/>
  <c r="G35" i="16" s="1"/>
  <c r="F35" i="16"/>
  <c r="E35" i="16"/>
  <c r="I34" i="16" a="1"/>
  <c r="I34" i="16" s="1"/>
  <c r="G34" i="16" a="1"/>
  <c r="G34" i="16" s="1"/>
  <c r="F34" i="16"/>
  <c r="E34" i="16"/>
  <c r="I33" i="16" a="1"/>
  <c r="I33" i="16" s="1"/>
  <c r="G33" i="16" a="1"/>
  <c r="G33" i="16" s="1"/>
  <c r="F33" i="16"/>
  <c r="E33" i="16"/>
  <c r="I32" i="16" a="1"/>
  <c r="I32" i="16" s="1"/>
  <c r="G32" i="16" a="1"/>
  <c r="G32" i="16" s="1"/>
  <c r="F32" i="16"/>
  <c r="E32" i="16"/>
  <c r="I31" i="16" a="1"/>
  <c r="I31" i="16" s="1"/>
  <c r="G31" i="16" a="1"/>
  <c r="G31" i="16" s="1"/>
  <c r="F31" i="16"/>
  <c r="E31" i="16"/>
  <c r="I30" i="16" a="1"/>
  <c r="I30" i="16" s="1"/>
  <c r="G30" i="16" a="1"/>
  <c r="G30" i="16" s="1"/>
  <c r="F30" i="16"/>
  <c r="E30" i="16"/>
  <c r="I29" i="16" a="1"/>
  <c r="I29" i="16" s="1"/>
  <c r="G29" i="16" a="1"/>
  <c r="G29" i="16" s="1"/>
  <c r="F29" i="16"/>
  <c r="E29" i="16"/>
  <c r="I28" i="16" a="1"/>
  <c r="I28" i="16" s="1"/>
  <c r="G28" i="16" a="1"/>
  <c r="G28" i="16" s="1"/>
  <c r="F28" i="16"/>
  <c r="E28" i="16"/>
  <c r="I27" i="16" a="1"/>
  <c r="I27" i="16" s="1"/>
  <c r="G27" i="16" a="1"/>
  <c r="G27" i="16" s="1"/>
  <c r="F27" i="16"/>
  <c r="E27" i="16"/>
  <c r="I26" i="16" a="1"/>
  <c r="I26" i="16" s="1"/>
  <c r="G26" i="16" a="1"/>
  <c r="G26" i="16" s="1"/>
  <c r="F26" i="16"/>
  <c r="E26" i="16"/>
  <c r="I25" i="16" a="1"/>
  <c r="I25" i="16" s="1"/>
  <c r="G25" i="16" a="1"/>
  <c r="G25" i="16" s="1"/>
  <c r="F25" i="16"/>
  <c r="E25" i="16"/>
  <c r="I24" i="16" a="1"/>
  <c r="I24" i="16" s="1"/>
  <c r="G24" i="16" a="1"/>
  <c r="G24" i="16" s="1"/>
  <c r="F24" i="16"/>
  <c r="E24" i="16"/>
  <c r="I23" i="16" a="1"/>
  <c r="I23" i="16" s="1"/>
  <c r="G23" i="16" a="1"/>
  <c r="G23" i="16" s="1"/>
  <c r="F23" i="16"/>
  <c r="E23" i="16"/>
  <c r="I22" i="16" a="1"/>
  <c r="I22" i="16" s="1"/>
  <c r="G22" i="16" a="1"/>
  <c r="G22" i="16" s="1"/>
  <c r="F22" i="16"/>
  <c r="E22" i="16"/>
  <c r="I21" i="16" a="1"/>
  <c r="I21" i="16" s="1"/>
  <c r="G21" i="16" a="1"/>
  <c r="G21" i="16" s="1"/>
  <c r="F21" i="16"/>
  <c r="E21" i="16"/>
  <c r="I20" i="16" a="1"/>
  <c r="I20" i="16" s="1"/>
  <c r="G20" i="16" a="1"/>
  <c r="G20" i="16" s="1"/>
  <c r="F20" i="16"/>
  <c r="E20" i="16"/>
  <c r="I19" i="16" a="1"/>
  <c r="I19" i="16" s="1"/>
  <c r="G19" i="16" a="1"/>
  <c r="G19" i="16" s="1"/>
  <c r="F19" i="16"/>
  <c r="E19" i="16"/>
  <c r="I18" i="16" a="1"/>
  <c r="I18" i="16" s="1"/>
  <c r="G18" i="16" a="1"/>
  <c r="G18" i="16" s="1"/>
  <c r="F18" i="16"/>
  <c r="E18" i="16"/>
  <c r="I17" i="16" a="1"/>
  <c r="I17" i="16" s="1"/>
  <c r="G17" i="16" a="1"/>
  <c r="G17" i="16" s="1"/>
  <c r="F17" i="16"/>
  <c r="E17" i="16"/>
  <c r="I16" i="16" a="1"/>
  <c r="I16" i="16" s="1"/>
  <c r="G16" i="16" a="1"/>
  <c r="G16" i="16" s="1"/>
  <c r="F16" i="16"/>
  <c r="E16" i="16"/>
  <c r="I15" i="16" a="1"/>
  <c r="I15" i="16" s="1"/>
  <c r="G15" i="16" a="1"/>
  <c r="G15" i="16" s="1"/>
  <c r="F15" i="16"/>
  <c r="E15" i="16"/>
  <c r="I14" i="16" a="1"/>
  <c r="I14" i="16" s="1"/>
  <c r="G14" i="16" a="1"/>
  <c r="G14" i="16" s="1"/>
  <c r="F14" i="16"/>
  <c r="E14" i="16"/>
  <c r="I13" i="16" a="1"/>
  <c r="I13" i="16" s="1"/>
  <c r="G13" i="16" a="1"/>
  <c r="G13" i="16" s="1"/>
  <c r="F13" i="16"/>
  <c r="E13" i="16"/>
  <c r="I12" i="16" a="1"/>
  <c r="I12" i="16" s="1"/>
  <c r="G12" i="16" a="1"/>
  <c r="G12" i="16" s="1"/>
  <c r="F12" i="16"/>
  <c r="E12" i="16"/>
  <c r="I11" i="16" a="1"/>
  <c r="I11" i="16" s="1"/>
  <c r="G11" i="16" a="1"/>
  <c r="G11" i="16" s="1"/>
  <c r="F11" i="16"/>
  <c r="E11" i="16"/>
  <c r="I10" i="16" a="1"/>
  <c r="I10" i="16" s="1"/>
  <c r="G10" i="16" a="1"/>
  <c r="G10" i="16" s="1"/>
  <c r="F10" i="16"/>
  <c r="E10" i="16"/>
  <c r="I9" i="16" a="1"/>
  <c r="I9" i="16" s="1"/>
  <c r="G9" i="16" a="1"/>
  <c r="G9" i="16" s="1"/>
  <c r="F9" i="16"/>
  <c r="E9" i="16"/>
  <c r="I8" i="16" a="1"/>
  <c r="I8" i="16" s="1"/>
  <c r="G8" i="16" a="1"/>
  <c r="G8" i="16" s="1"/>
  <c r="F8" i="16"/>
  <c r="E8" i="16"/>
  <c r="I7" i="16" a="1"/>
  <c r="I7" i="16" s="1"/>
  <c r="G7" i="16" a="1"/>
  <c r="G7" i="16" s="1"/>
  <c r="F7" i="16"/>
  <c r="E7" i="16"/>
  <c r="I6" i="16" a="1"/>
  <c r="I6" i="16" s="1"/>
  <c r="G6" i="16" a="1"/>
  <c r="G6" i="16" s="1"/>
  <c r="F6" i="16"/>
  <c r="E6" i="16"/>
  <c r="I5" i="16" a="1"/>
  <c r="I5" i="16" s="1"/>
  <c r="G5" i="16" a="1"/>
  <c r="G5" i="16" s="1"/>
  <c r="F5" i="16"/>
  <c r="E5" i="16"/>
  <c r="I4" i="16" a="1"/>
  <c r="I4" i="16" s="1"/>
  <c r="G4" i="16" a="1"/>
  <c r="G4" i="16" s="1"/>
  <c r="F4" i="16"/>
  <c r="E4" i="16"/>
  <c r="I3" i="16" a="1"/>
  <c r="I3" i="16" s="1"/>
  <c r="G3" i="16" a="1"/>
  <c r="G3" i="16" s="1"/>
  <c r="F3" i="16"/>
  <c r="E3" i="16"/>
  <c r="I2" i="16" a="1"/>
  <c r="I2" i="16" s="1"/>
  <c r="G2" i="16" a="1"/>
  <c r="G2" i="16" s="1"/>
  <c r="F2" i="16"/>
  <c r="E2"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<sst xmlns="http://schemas.openxmlformats.org/spreadsheetml/2006/main" count="3127" uniqueCount="323">
  <si>
    <t>Nama_Donatur</t>
  </si>
  <si>
    <t>Email</t>
  </si>
  <si>
    <t>No_HP</t>
  </si>
  <si>
    <t>Tanggal_Donasi</t>
  </si>
  <si>
    <t>Nominal</t>
  </si>
  <si>
    <t>Elisa Prakasa</t>
  </si>
  <si>
    <t>Tgk. Pandu Mansur, S.Psi</t>
  </si>
  <si>
    <t>Cemani Kuswandari</t>
  </si>
  <si>
    <t>Drs. Febi Simbolon</t>
  </si>
  <si>
    <t>Bahuwirya Thamrin</t>
  </si>
  <si>
    <t>Danu Waluyo</t>
  </si>
  <si>
    <t>Vino Permata</t>
  </si>
  <si>
    <t>R. Edison Saragih, S.Farm</t>
  </si>
  <si>
    <t>Gaiman Astuti</t>
  </si>
  <si>
    <t>Wahyu Uyainah</t>
  </si>
  <si>
    <t>Titi Laksmiwati</t>
  </si>
  <si>
    <t>Talia Wibowo</t>
  </si>
  <si>
    <t>H. Cakrawala Winarno</t>
  </si>
  <si>
    <t>R.M. Eko Megantara, S.E.</t>
  </si>
  <si>
    <t>Darmana Safitri, S.T.</t>
  </si>
  <si>
    <t>Ir. Lintang Kusmawati, S.T.</t>
  </si>
  <si>
    <t>Dt. Kardi Sitompul</t>
  </si>
  <si>
    <t>Ir. Rendy Nasyiah, M.Kom.</t>
  </si>
  <si>
    <t>Luwes Hakim</t>
  </si>
  <si>
    <t>Qori Pudjiastuti, M.Ak</t>
  </si>
  <si>
    <t>Widya Prasasta</t>
  </si>
  <si>
    <t>Tgk. Ani Wahyudin</t>
  </si>
  <si>
    <t>dr. Dinda Suryatmi</t>
  </si>
  <si>
    <t>Drs. Yani Firmansyah</t>
  </si>
  <si>
    <t>Tiara Adriansyah</t>
  </si>
  <si>
    <t>Puti Ardianto</t>
  </si>
  <si>
    <t>Juli Habibi</t>
  </si>
  <si>
    <t>Jaga Wahyuni</t>
  </si>
  <si>
    <t>Nurul Tarihoran</t>
  </si>
  <si>
    <t>Ir. Mahmud Namaga, M.Kom.</t>
  </si>
  <si>
    <t>Cut Dina Kuswandari, S.Psi</t>
  </si>
  <si>
    <t>Puti Rahmi Dongoran</t>
  </si>
  <si>
    <t>Puji Latupono, M.TI.</t>
  </si>
  <si>
    <t>Panji Oktaviani</t>
  </si>
  <si>
    <t>Ega Gunawan</t>
  </si>
  <si>
    <t>Lili Maheswara</t>
  </si>
  <si>
    <t>dr. Luluh Siregar, M.Ak</t>
  </si>
  <si>
    <t>Ellis Zulaika</t>
  </si>
  <si>
    <t>Kayla Usamah</t>
  </si>
  <si>
    <t>Titi Maheswara</t>
  </si>
  <si>
    <t>Julia Sitorus</t>
  </si>
  <si>
    <t>Gamani Saptono</t>
  </si>
  <si>
    <t>Wage Saefullah</t>
  </si>
  <si>
    <t>Gandewa Wijayanti</t>
  </si>
  <si>
    <t>Lukita Winarsih</t>
  </si>
  <si>
    <t>Drs. Zulaikha Kuswandari, S.Sos</t>
  </si>
  <si>
    <t>Zizi Yolanda</t>
  </si>
  <si>
    <t>Vega Wacana</t>
  </si>
  <si>
    <t>Virman Rajata</t>
  </si>
  <si>
    <t>Alika Nurdiyanti</t>
  </si>
  <si>
    <t>Ana Tampubolon</t>
  </si>
  <si>
    <t>Aisyah Yuniar</t>
  </si>
  <si>
    <t>Emas Nababan</t>
  </si>
  <si>
    <t>Michelle Siregar</t>
  </si>
  <si>
    <t>R. Ratih Wastuti</t>
  </si>
  <si>
    <t>Rini Pradana</t>
  </si>
  <si>
    <t>Mahesa Mahendra</t>
  </si>
  <si>
    <t>Dt. Pangestu Suwarno, M.M.</t>
  </si>
  <si>
    <t>Edi Simbolon</t>
  </si>
  <si>
    <t>Zalindra Widodo, S.T.</t>
  </si>
  <si>
    <t>Natalia Marbun</t>
  </si>
  <si>
    <t>Syahrini Wijayanti, M.Farm</t>
  </si>
  <si>
    <t>Suci Tamba</t>
  </si>
  <si>
    <t>Laksana Rajasa</t>
  </si>
  <si>
    <t>Tgk. Raisa Megantara, M.Pd</t>
  </si>
  <si>
    <t>Endah Najmudin</t>
  </si>
  <si>
    <t>Ir. Edward Prakasa, M.M.</t>
  </si>
  <si>
    <t>Puti Paramita Nainggolan</t>
  </si>
  <si>
    <t>R. Dimaz Tarihoran</t>
  </si>
  <si>
    <t>Dina Yulianti, S.H.</t>
  </si>
  <si>
    <t>R. Balidin Maulana, M.Pd</t>
  </si>
  <si>
    <t>Septi Latupono, S.H.</t>
  </si>
  <si>
    <t>Shania Usada</t>
  </si>
  <si>
    <t>Carub Namaga</t>
  </si>
  <si>
    <t>T. Caturangga Hasanah, S.E.I</t>
  </si>
  <si>
    <t>Puti Talia Siregar, S.Pd</t>
  </si>
  <si>
    <t>Jamil Astuti</t>
  </si>
  <si>
    <t>Ikhsan Damanik</t>
  </si>
  <si>
    <t>Ajiman Sudiati, S.IP</t>
  </si>
  <si>
    <t>drg. Hartana Zulkarnain</t>
  </si>
  <si>
    <t>Dr. Ika Wacana</t>
  </si>
  <si>
    <t>Kezia Maryadi</t>
  </si>
  <si>
    <t>Rahmat Hastuti</t>
  </si>
  <si>
    <t>Tgk. Victoria Wijaya</t>
  </si>
  <si>
    <t>Zalindra Wastuti</t>
  </si>
  <si>
    <t>Oskar Permata</t>
  </si>
  <si>
    <t>Yani Nuraini</t>
  </si>
  <si>
    <t>Yuliana Utami</t>
  </si>
  <si>
    <t>Gading Hardiansyah</t>
  </si>
  <si>
    <t>Nadia Permata</t>
  </si>
  <si>
    <t>Prakosa Kuswoyo</t>
  </si>
  <si>
    <t>Nadine Melani</t>
  </si>
  <si>
    <t>Ir. Ajiman Novitasari</t>
  </si>
  <si>
    <t>Dt. Cawisono Mustofa</t>
  </si>
  <si>
    <t>Ami Haryanti, S.Gz</t>
  </si>
  <si>
    <t>H. Karta Pratiwi, S.Pd</t>
  </si>
  <si>
    <t>T. Naradi Usada, S.E.</t>
  </si>
  <si>
    <t>Ir. Gantar Safitri, S.IP</t>
  </si>
  <si>
    <t>Puspa Napitupulu</t>
  </si>
  <si>
    <t>Jaswadi Nashiruddin</t>
  </si>
  <si>
    <t>dimazlestari@ud.my.id</t>
  </si>
  <si>
    <t>cagerhalimah@ud.my.id</t>
  </si>
  <si>
    <t>melaniestiono@yahoo.com</t>
  </si>
  <si>
    <t>tampubolonlasmanto@cv.web.id</t>
  </si>
  <si>
    <t>utamba@pd.ponpes.id</t>
  </si>
  <si>
    <t>vanesa41@yahoo.com</t>
  </si>
  <si>
    <t>kiandra43@pt.desa.id</t>
  </si>
  <si>
    <t>reza38@yahoo.com</t>
  </si>
  <si>
    <t>npratama@hotmail.com</t>
  </si>
  <si>
    <t>damaniktalia@cv.sch.id</t>
  </si>
  <si>
    <t>cengkirwacana@hotmail.com</t>
  </si>
  <si>
    <t>halima97@ud.net.id</t>
  </si>
  <si>
    <t>mfarida@yahoo.com</t>
  </si>
  <si>
    <t>bfujiati@pt.int</t>
  </si>
  <si>
    <t>luthfinapitupulu@ud.ponpes.id</t>
  </si>
  <si>
    <t>ilyasdongoran@gmail.com</t>
  </si>
  <si>
    <t>rosman56@perum.id</t>
  </si>
  <si>
    <t>bambang29@ud.ac.id</t>
  </si>
  <si>
    <t>rajasamustofa@ud.gov</t>
  </si>
  <si>
    <t>wahyudindarijan@ud.org</t>
  </si>
  <si>
    <t>maryanto54@ud.mil.id</t>
  </si>
  <si>
    <t>hthamrin@perum.biz.id</t>
  </si>
  <si>
    <t>jarwa75@pd.net</t>
  </si>
  <si>
    <t>yuniarprayitna@gmail.com</t>
  </si>
  <si>
    <t>iswahyudiyusuf@cv.sch.id</t>
  </si>
  <si>
    <t>bancarwaskita@hotmail.com</t>
  </si>
  <si>
    <t>twinarno@yahoo.com</t>
  </si>
  <si>
    <t>puti51@hotmail.com</t>
  </si>
  <si>
    <t>rafid30@gmail.com</t>
  </si>
  <si>
    <t>jayengkuswandari@yahoo.com</t>
  </si>
  <si>
    <t>ajiman73@cv.web.id</t>
  </si>
  <si>
    <t>firmansyahwage@yahoo.com</t>
  </si>
  <si>
    <t>vanesapuspasari@ud.id</t>
  </si>
  <si>
    <t>latuponomala@yahoo.com</t>
  </si>
  <si>
    <t>caketwijaya@gmail.com</t>
  </si>
  <si>
    <t>daryani54@ud.net.id</t>
  </si>
  <si>
    <t>ajimindongoran@hotmail.com</t>
  </si>
  <si>
    <t>dongorandaliono@pd.sch.id</t>
  </si>
  <si>
    <t>pmahendra@ud.gov</t>
  </si>
  <si>
    <t>dlazuardi@pt.id</t>
  </si>
  <si>
    <t>gambirasitompul@perum.mil.id</t>
  </si>
  <si>
    <t>lestaridarman@hotmail.com</t>
  </si>
  <si>
    <t>kamal73@gmail.com</t>
  </si>
  <si>
    <t>firgantorojarwadi@yahoo.com</t>
  </si>
  <si>
    <t>mansurindah@gmail.com</t>
  </si>
  <si>
    <t>astutifitriani@perum.ponpes.id</t>
  </si>
  <si>
    <t>rudi69@pd.or.id</t>
  </si>
  <si>
    <t>gunartoulva@hotmail.com</t>
  </si>
  <si>
    <t>zalindranovitasari@yahoo.com</t>
  </si>
  <si>
    <t>tasnim77@hotmail.com</t>
  </si>
  <si>
    <t>ozygunawan@gmail.com</t>
  </si>
  <si>
    <t>faridanadia@pt.mil.id</t>
  </si>
  <si>
    <t>kamariaharyanto@yahoo.com</t>
  </si>
  <si>
    <t>laras76@hotmail.com</t>
  </si>
  <si>
    <t>sidiqoktaviani@gmail.com</t>
  </si>
  <si>
    <t>samsulsudiati@perum.desa.id</t>
  </si>
  <si>
    <t>ewaluyo@perum.desa.id</t>
  </si>
  <si>
    <t>vino85@gmail.com</t>
  </si>
  <si>
    <t>karimanrahimah@gmail.com</t>
  </si>
  <si>
    <t>hnajmudin@cv.gov</t>
  </si>
  <si>
    <t>yuliartikiandra@perum.mil</t>
  </si>
  <si>
    <t>indrapratama@pt.desa.id</t>
  </si>
  <si>
    <t>olivia50@gmail.com</t>
  </si>
  <si>
    <t>jdabukke@hotmail.com</t>
  </si>
  <si>
    <t>wulandarimartaka@pd.sch.id</t>
  </si>
  <si>
    <t>eli47@hotmail.com</t>
  </si>
  <si>
    <t>zhardiansyah@ud.co.id</t>
  </si>
  <si>
    <t>cahyonowacana@cv.mil.id</t>
  </si>
  <si>
    <t>ulyadamanik@cv.ac.id</t>
  </si>
  <si>
    <t>tasnim22@hotmail.com</t>
  </si>
  <si>
    <t>haryantoemil@ud.edu</t>
  </si>
  <si>
    <t>bella53@pd.co.id</t>
  </si>
  <si>
    <t>irianasihombing@gmail.com</t>
  </si>
  <si>
    <t>mayawastuti@pd.biz.id</t>
  </si>
  <si>
    <t>chasanah@hotmail.com</t>
  </si>
  <si>
    <t>firawan@cv.edu</t>
  </si>
  <si>
    <t>yancetarihoran@gmail.com</t>
  </si>
  <si>
    <t>langgeng71@gmail.com</t>
  </si>
  <si>
    <t>irasimbolon@pt.sch.id</t>
  </si>
  <si>
    <t>dlatupono@ud.web.id</t>
  </si>
  <si>
    <t>anggrainidarmana@hotmail.com</t>
  </si>
  <si>
    <t>galuhkusmawati@pt.mil.id</t>
  </si>
  <si>
    <t>gina89@perum.net.id</t>
  </si>
  <si>
    <t>zulfa72@pd.com</t>
  </si>
  <si>
    <t>januarhadi@yahoo.com</t>
  </si>
  <si>
    <t>dabukkeanggabaya@yahoo.com</t>
  </si>
  <si>
    <t>ajeng31@perum.ponpes.id</t>
  </si>
  <si>
    <t>dhariyah@yahoo.com</t>
  </si>
  <si>
    <t>martaniwastuti@hotmail.com</t>
  </si>
  <si>
    <t>hasimsihotang@ud.int</t>
  </si>
  <si>
    <t>cici41@gmail.com</t>
  </si>
  <si>
    <t>owacana@pd.my.id</t>
  </si>
  <si>
    <t>gildapurwanti@ud.id</t>
  </si>
  <si>
    <t>ldabukke@gmail.com</t>
  </si>
  <si>
    <t>michelle36@gmail.com</t>
  </si>
  <si>
    <t>hariyahatmaja@cv.or.id</t>
  </si>
  <si>
    <t>fnababan@pt.org</t>
  </si>
  <si>
    <t>wahyudinolga@yahoo.com</t>
  </si>
  <si>
    <t>rahmiutami@yahoo.com</t>
  </si>
  <si>
    <t>iswahyudiicha@perum.com</t>
  </si>
  <si>
    <t>089359925272</t>
  </si>
  <si>
    <t>084414454864</t>
  </si>
  <si>
    <t>085981671649</t>
  </si>
  <si>
    <t>089721078156</t>
  </si>
  <si>
    <t>081362752950</t>
  </si>
  <si>
    <t>088263853330</t>
  </si>
  <si>
    <t>083112358926</t>
  </si>
  <si>
    <t>089586244327</t>
  </si>
  <si>
    <t>081499090567</t>
  </si>
  <si>
    <t>089682362121</t>
  </si>
  <si>
    <t>089477791672</t>
  </si>
  <si>
    <t>087861788505</t>
  </si>
  <si>
    <t>089156696145</t>
  </si>
  <si>
    <t>082856637624</t>
  </si>
  <si>
    <t>084083470257</t>
  </si>
  <si>
    <t>084202728592</t>
  </si>
  <si>
    <t>083780890923</t>
  </si>
  <si>
    <t>087738836474</t>
  </si>
  <si>
    <t>084874030158</t>
  </si>
  <si>
    <t>081789090127</t>
  </si>
  <si>
    <t>089544875060</t>
  </si>
  <si>
    <t>084482992007</t>
  </si>
  <si>
    <t>083782136774</t>
  </si>
  <si>
    <t>081135963928</t>
  </si>
  <si>
    <t>087171519162</t>
  </si>
  <si>
    <t>084075612413</t>
  </si>
  <si>
    <t>085596147367</t>
  </si>
  <si>
    <t>082071977699</t>
  </si>
  <si>
    <t>089927693526</t>
  </si>
  <si>
    <t>081130701640</t>
  </si>
  <si>
    <t>085056243534</t>
  </si>
  <si>
    <t>086834324489</t>
  </si>
  <si>
    <t>082523408987</t>
  </si>
  <si>
    <t>084873895337</t>
  </si>
  <si>
    <t>086877067205</t>
  </si>
  <si>
    <t>085591561116</t>
  </si>
  <si>
    <t>084132271778</t>
  </si>
  <si>
    <t>085544770562</t>
  </si>
  <si>
    <t>087337836051</t>
  </si>
  <si>
    <t>085164681375</t>
  </si>
  <si>
    <t>085408495852</t>
  </si>
  <si>
    <t>083458042742</t>
  </si>
  <si>
    <t>083641947000</t>
  </si>
  <si>
    <t>084798822283</t>
  </si>
  <si>
    <t>086085993757</t>
  </si>
  <si>
    <t>082573074766</t>
  </si>
  <si>
    <t>085553397607</t>
  </si>
  <si>
    <t>088280772585</t>
  </si>
  <si>
    <t>089449491877</t>
  </si>
  <si>
    <t>085831782206</t>
  </si>
  <si>
    <t>083288357322</t>
  </si>
  <si>
    <t>089966542431</t>
  </si>
  <si>
    <t>084894715392</t>
  </si>
  <si>
    <t>084233413835</t>
  </si>
  <si>
    <t>089066165043</t>
  </si>
  <si>
    <t>081428544156</t>
  </si>
  <si>
    <t>084535784990</t>
  </si>
  <si>
    <t>089989630610</t>
  </si>
  <si>
    <t>084610166828</t>
  </si>
  <si>
    <t>089888400150</t>
  </si>
  <si>
    <t>086636116658</t>
  </si>
  <si>
    <t>082647644966</t>
  </si>
  <si>
    <t>085472119048</t>
  </si>
  <si>
    <t>082749513664</t>
  </si>
  <si>
    <t>087891542310</t>
  </si>
  <si>
    <t>087653884439</t>
  </si>
  <si>
    <t>082716774744</t>
  </si>
  <si>
    <t>087517149657</t>
  </si>
  <si>
    <t>082824235206</t>
  </si>
  <si>
    <t>087783820706</t>
  </si>
  <si>
    <t>081926032666</t>
  </si>
  <si>
    <t>086645029479</t>
  </si>
  <si>
    <t>087935388901</t>
  </si>
  <si>
    <t>089717733557</t>
  </si>
  <si>
    <t>089327750679</t>
  </si>
  <si>
    <t>082536364109</t>
  </si>
  <si>
    <t>082787528258</t>
  </si>
  <si>
    <t>088976031063</t>
  </si>
  <si>
    <t>086820741490</t>
  </si>
  <si>
    <t>085752124281</t>
  </si>
  <si>
    <t>088537254759</t>
  </si>
  <si>
    <t>085573440057</t>
  </si>
  <si>
    <t>085533216850</t>
  </si>
  <si>
    <t>087988103517</t>
  </si>
  <si>
    <t>082614561376</t>
  </si>
  <si>
    <t>082003138975</t>
  </si>
  <si>
    <t>087832711366</t>
  </si>
  <si>
    <t>089664927255</t>
  </si>
  <si>
    <t>087396670622</t>
  </si>
  <si>
    <t>087096193049</t>
  </si>
  <si>
    <t>089170698770</t>
  </si>
  <si>
    <t>084228396036</t>
  </si>
  <si>
    <t>084474994194</t>
  </si>
  <si>
    <t>085819021142</t>
  </si>
  <si>
    <t>084285538989</t>
  </si>
  <si>
    <t>085728339321</t>
  </si>
  <si>
    <t>082194201582</t>
  </si>
  <si>
    <t>082280261656</t>
  </si>
  <si>
    <t>088685929428</t>
  </si>
  <si>
    <t>084332960836</t>
  </si>
  <si>
    <t>Label Baris</t>
  </si>
  <si>
    <t>Total Keseluruhan</t>
  </si>
  <si>
    <t>Status</t>
  </si>
  <si>
    <t>Frekuensi</t>
  </si>
  <si>
    <t>Tanggal Awal</t>
  </si>
  <si>
    <t>Tanggal Akhir</t>
  </si>
  <si>
    <t>Jarak Transaksi Terakhir sampai Hari Ini</t>
  </si>
  <si>
    <t>Rata-Rata Jumlah Transaksi per Bulan</t>
  </si>
  <si>
    <t>Diamond</t>
  </si>
  <si>
    <t>Silver</t>
  </si>
  <si>
    <t>Gold</t>
  </si>
  <si>
    <t>Bronze</t>
  </si>
  <si>
    <t>Kelompok</t>
  </si>
  <si>
    <t>Jumlah dari Nominal</t>
  </si>
  <si>
    <t>Hitung dari Nama_Donatur</t>
  </si>
  <si>
    <t>Aktif</t>
  </si>
  <si>
    <t>Loyal</t>
  </si>
  <si>
    <t>Pasif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</si>
</sst>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IDR-3809]* #,##0.00_-;\-[$IDR-3809]* #,##0.00_-;_-[$IDR-3809]* &quot;-&quot;??_-;_-@_-"/>
    <numFmt numFmtId="165" formatCode="[$-421]dd\ mmmm\ yyyy;@"/>
    <numFmt numFmtId="166" formatCode="_-[$Rp-421]* #,##0.00_-;\-[$Rp-421]* #,##0.00_-;_-[$Rp-421]* &quot;-&quot;??_-;_-@_-"/>
  </numFmts>
  <fonts count="4" x14ac:knownFonts="1">
    <font>
      <sz val="11"/>
      <color theme="1"/>
      <name val="Calibri"/>
      <family val="2"/>
      <scheme val="minor"/>
    </font>
    <font>
      <b/>
      <sz val="11"/>
      <color theme="1"/>
      <name val="Calibri"/>
      <family val="2"/>
      <scheme val="minor"/>
    </font>
    <font>
      <sz val="8"/>
      <name val="Calibri"/>
      <family val="2"/>
      <scheme val="minor"/>
    </font>
    <font>
      <sz val="11"/>
      <color rgb="FF00000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164" fontId="0" fillId="0" borderId="0" xfId="0" applyNumberFormat="1"/>
    <xf numFmtId="0" fontId="0" fillId="0" borderId="1" xfId="0" applyBorder="1"/>
    <xf numFmtId="14" fontId="0" fillId="0" borderId="0" xfId="0" applyNumberFormat="1"/>
    <xf numFmtId="0" fontId="0" fillId="0" borderId="0" xfId="0" pivotButton="1"/>
    <xf numFmtId="0" fontId="0" fillId="0" borderId="0" xfId="0" applyAlignment="1">
      <alignment horizontal="left"/>
    </xf>
    <xf numFmtId="165" fontId="0" fillId="0" borderId="1" xfId="0" applyNumberFormat="1" applyBorder="1"/>
    <xf numFmtId="0" fontId="1" fillId="0" borderId="2" xfId="0" applyFont="1" applyBorder="1" applyAlignment="1">
      <alignment horizontal="center" vertical="top"/>
    </xf>
    <xf numFmtId="166" fontId="0" fillId="0" borderId="0" xfId="0" applyNumberFormat="1"/>
    <xf numFmtId="166" fontId="0" fillId="0" borderId="1" xfId="0" applyNumberFormat="1" applyBorder="1"/>
    <xf numFmtId="165" fontId="1" fillId="0" borderId="1" xfId="0" applyNumberFormat="1" applyFont="1" applyBorder="1" applyAlignment="1">
      <alignment horizontal="center" vertical="top"/>
    </xf>
    <xf numFmtId="49" fontId="0" fillId="0" borderId="2" xfId="0" applyNumberFormat="1" applyBorder="1"/>
    <xf numFmtId="165" fontId="0" fillId="0" borderId="0" xfId="0" applyNumberFormat="1"/>
    <xf numFmtId="0" fontId="0" fillId="0" borderId="0" xfId="0" applyAlignment="1">
      <alignment vertical="top"/>
    </xf>
    <xf numFmtId="0" fontId="3" fillId="0" borderId="0" xfId="0" applyFont="1" applyAlignment="1">
      <alignment horizontal="left" vertical="top"/>
    </xf>
  </cellXfs>
  <cellStyles count="1">
    <cellStyle name="Normal" xfId="0" builtinId="0"/>
  </cellStyles>
  <dxfs count="17">
    <dxf>
      <font>
        <color rgb="FF000000"/>
      </font>
      <alignment horizontal="general" vertical="bottom" textRotation="0" wrapText="0" indent="0" justifyLastLine="0" shrinkToFit="0" readingOrder="0"/>
    </dxf>
    <dxf>
      <font>
        <color rgb="FF000000"/>
      </font>
      <numFmt numFmtId="166" formatCode="_-[$Rp-421]* #,##0.00_-;\-[$Rp-421]* #,##0.00_-;_-[$Rp-421]* &quot;-&quot;??_-;_-@_-"/>
      <alignment horizontal="general" vertical="bottom" textRotation="0" wrapText="0" indent="0" justifyLastLine="0" shrinkToFit="0" readingOrder="0"/>
    </dxf>
    <dxf>
      <font>
        <color rgb="FF000000"/>
      </font>
      <alignment horizontal="general" vertical="bottom" textRotation="0" wrapText="0" indent="0" justifyLastLine="0" shrinkToFit="0" readingOrder="0"/>
    </dxf>
    <dxf>
      <font>
        <color rgb="FF000000"/>
      </font>
      <alignment horizontal="general" vertical="bottom" textRotation="0" wrapText="0" indent="0" justifyLastLine="0" shrinkToFit="0" readingOrder="0"/>
    </dxf>
    <dxf>
      <font>
        <color rgb="FF000000"/>
      </font>
      <alignment horizontal="general" vertical="bottom" textRotation="0" wrapText="0" indent="0" justifyLastLine="0" shrinkToFit="0" readingOrder="0"/>
    </dxf>
    <dxf>
      <font>
        <color rgb="FF000000"/>
      </font>
      <numFmt numFmtId="165" formatCode="[$-421]dd\ mmmm\ yyyy;@"/>
      <alignment horizontal="general" vertical="bottom" textRotation="0" wrapText="0" indent="0" justifyLastLine="0" shrinkToFit="0" readingOrder="0"/>
    </dxf>
    <dxf>
      <font>
        <color rgb="FF000000"/>
      </font>
      <numFmt numFmtId="165" formatCode="[$-421]dd\ mmmm\ yyyy;@"/>
      <alignment horizontal="general" vertical="bottom" textRotation="0" wrapText="0" indent="0" justifyLastLine="0" shrinkToFit="0" readingOrder="0"/>
    </dxf>
    <dxf>
      <font>
        <color rgb="FF000000"/>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left" vertical="top"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6" formatCode="_-[$Rp-421]* #,##0.00_-;\-[$Rp-421]* #,##0.00_-;_-[$Rp-421]* &quot;-&quot;??_-;_-@_-"/>
      <border diagonalUp="0" diagonalDown="0" outline="0">
        <left style="thin">
          <color auto="1"/>
        </left>
        <right style="thin">
          <color auto="1"/>
        </right>
        <top style="thin">
          <color auto="1"/>
        </top>
        <bottom style="thin">
          <color auto="1"/>
        </bottom>
      </border>
    </dxf>
    <dxf>
      <numFmt numFmtId="165" formatCode="[$-421]dd\ mmmm\ yyyy;@"/>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30" formatCode="@"/>
      <border diagonalUp="0" diagonalDown="0">
        <left/>
        <right style="thin">
          <color auto="1"/>
        </right>
        <top style="thin">
          <color auto="1"/>
        </top>
        <bottom style="thin">
          <color auto="1"/>
        </bottom>
        <vertical/>
        <horizontal/>
      </border>
    </dxf>
    <dxf>
      <border outline="0">
        <left style="thin">
          <color auto="1"/>
        </left>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1/relationships/timelineCache" Target="timelineCaches/timelineCache2.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1/relationships/timelineCache" Target="timelineCaches/timeline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 Pengolahan Data Donatur.xlsx] Kelompok Total Nominal!PivotTable1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Jumlah Donatur Berdasarkan</a:t>
            </a:r>
            <a:r>
              <a:rPr lang="id-ID" sz="1400" b="0" i="0" u="none" strike="noStrike" kern="1200" spc="0" baseline="0">
                <a:solidFill>
                  <a:sysClr val="windowText" lastClr="000000">
                    <a:lumMod val="65000"/>
                    <a:lumOff val="35000"/>
                  </a:sysClr>
                </a:solidFill>
              </a:rPr>
              <a:t> Kelompok</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 Kelompok Total Nominal'!$B$3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6A-4B89-A499-8E7093F961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6A-4B89-A499-8E7093F961F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6A-4B89-A499-8E7093F961F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96A-4B89-A499-8E7093F961F2}"/>
              </c:ext>
            </c:extLst>
          </c:dPt>
          <c:cat>
            <c:strRef>
              <c:f>' Kelompok Total Nominal'!$A$4:$A$8</c:f>
              <c:strCache>
                <c:ptCount val="4"/>
                <c:pt idx="0">
                  <c:v>Bronze</c:v>
                </c:pt>
                <c:pt idx="1">
                  <c:v>Diamond</c:v>
                </c:pt>
                <c:pt idx="2">
                  <c:v>Gold</c:v>
                </c:pt>
                <c:pt idx="3">
                  <c:v>Silver</c:v>
                </c:pt>
              </c:strCache>
            </c:strRef>
          </c:cat>
          <c:val>
            <c:numRef>
              <c:f>' Kelompok Total Nominal'!$B$4:$B$8</c:f>
              <c:numCache>
                <c:formatCode>General</c:formatCode>
                <c:ptCount val="4"/>
                <c:pt idx="0">
                  <c:v>1</c:v>
                </c:pt>
                <c:pt idx="1">
                  <c:v>85</c:v>
                </c:pt>
                <c:pt idx="2">
                  <c:v>9</c:v>
                </c:pt>
                <c:pt idx="3">
                  <c:v>5</c:v>
                </c:pt>
              </c:numCache>
            </c:numRef>
          </c:val>
          <c:extLst>
            <c:ext xmlns:c16="http://schemas.microsoft.com/office/drawing/2014/chart" uri="{C3380CC4-5D6E-409C-BE32-E72D297353CC}">
              <c16:uniqueId val="{00000000-A28F-4453-9EFA-04F2F4A9745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 Pengolahan Data Donatur.xlsx]Kelompok Total Frekuensi!PivotTable2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Jumlah Donatur Berdasarkan </a:t>
            </a:r>
            <a:r>
              <a:rPr lang="id-ID" sz="1400" b="0" i="0" u="none" strike="noStrike" kern="1200" spc="0" baseline="0">
                <a:solidFill>
                  <a:sysClr val="windowText" lastClr="000000">
                    <a:lumMod val="65000"/>
                    <a:lumOff val="35000"/>
                  </a:sysClr>
                </a:solidFill>
              </a:rPr>
              <a:t>Status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id-ID"/>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'Kelompok Total Frekuensi'!$B$3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14-46C0-B6A9-060F8DB5F5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14-46C0-B6A9-060F8DB5F5A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014-46C0-B6A9-060F8DB5F5AD}"/>
              </c:ext>
            </c:extLst>
          </c:dPt>
          <c:cat>
            <c:strRef>
              <c:f>'Kelompok Total Frekuensi'!$A$4:$A$7</c:f>
              <c:strCache>
                <c:ptCount val="3"/>
                <c:pt idx="0">
                  <c:v>Aktif</c:v>
                </c:pt>
                <c:pt idx="1">
                  <c:v>Loyal</c:v>
                </c:pt>
                <c:pt idx="2">
                  <c:v>Pasif</c:v>
                </c:pt>
              </c:strCache>
            </c:strRef>
          </c:cat>
          <c:val>
            <c:numRef>
              <c:f>'Kelompok Total Frekuensi'!$B$4:$B$7</c:f>
              <c:numCache>
                <c:formatCode>General</c:formatCode>
                <c:ptCount val="3"/>
                <c:pt idx="0">
                  <c:v>74</c:v>
                </c:pt>
                <c:pt idx="1">
                  <c:v>13</c:v>
                </c:pt>
                <c:pt idx="2">
                  <c:v>13</c:v>
                </c:pt>
              </c:numCache>
            </c:numRef>
          </c:val>
          <c:extLst>
            <c:ext xmlns:c16="http://schemas.microsoft.com/office/drawing/2014/chart" uri="{C3380CC4-5D6E-409C-BE32-E72D297353CC}">
              <c16:uniqueId val="{00000000-A2B5-47F5-8F94-29905AE374A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 Pengolahan Data Donatur.xlsx] Kelompok Total Nominal!PivotTable1</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Jumlah Donatur Berdasarkan</a:t>
            </a:r>
            <a:r>
              <a:rPr lang="id-ID" sz="1400" b="0" i="0" u="none" strike="noStrike" kern="1200" spc="0" baseline="0">
                <a:solidFill>
                  <a:sysClr val="windowText" lastClr="000000">
                    <a:lumMod val="65000"/>
                    <a:lumOff val="35000"/>
                  </a:sysClr>
                </a:solidFill>
              </a:rPr>
              <a:t> Kelompok</a:t>
            </a:r>
            <a:endParaRPr lang="en-US" sz="1400" b="0" i="0" u="none" strike="noStrike" kern="1200" spc="0" baseline="0">
              <a:solidFill>
                <a:sysClr val="windowText" lastClr="000000">
                  <a:lumMod val="65000"/>
                  <a:lumOff val="35000"/>
                </a:sysClr>
              </a:solidFill>
            </a:endParaRPr>
          </a:p>
        </c:rich>
      </c:tx>
      <c:layout>
        <c:manualLayout>
          <c:xMode val="edge"/>
          <c:yMode val="edge"/>
          <c:x val="0.24560569273629596"/>
          <c:y val="0.10798653474025995"/>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 Kelompok Total Nominal'!$B$3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C9-4239-AC9D-5B774EA599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C9-4239-AC9D-5B774EA599D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0C9-4239-AC9D-5B774EA599D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0C9-4239-AC9D-5B774EA599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Kelompok Total Nominal'!$A$4:$A$8</c:f>
              <c:strCache>
                <c:ptCount val="4"/>
                <c:pt idx="0">
                  <c:v>Bronze</c:v>
                </c:pt>
                <c:pt idx="1">
                  <c:v>Diamond</c:v>
                </c:pt>
                <c:pt idx="2">
                  <c:v>Gold</c:v>
                </c:pt>
                <c:pt idx="3">
                  <c:v>Silver</c:v>
                </c:pt>
              </c:strCache>
            </c:strRef>
          </c:cat>
          <c:val>
            <c:numRef>
              <c:f>' Kelompok Total Nominal'!$B$4:$B$8</c:f>
              <c:numCache>
                <c:formatCode>General</c:formatCode>
                <c:ptCount val="4"/>
                <c:pt idx="0">
                  <c:v>1</c:v>
                </c:pt>
                <c:pt idx="1">
                  <c:v>85</c:v>
                </c:pt>
                <c:pt idx="2">
                  <c:v>9</c:v>
                </c:pt>
                <c:pt idx="3">
                  <c:v>5</c:v>
                </c:pt>
              </c:numCache>
            </c:numRef>
          </c:val>
          <c:extLst>
            <c:ext xmlns:c16="http://schemas.microsoft.com/office/drawing/2014/chart" uri="{C3380CC4-5D6E-409C-BE32-E72D297353CC}">
              <c16:uniqueId val="{00000008-40C9-4239-AC9D-5B774EA599D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 Pengolahan Data Donatur.xlsx]Kelompok Total Frekuensi!PivotTable2</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Jumlah Donatur Berdasarkan </a:t>
            </a:r>
            <a:r>
              <a:rPr lang="id-ID" sz="1400" b="0" i="0" u="none" strike="noStrike" kern="1200" spc="0" baseline="0">
                <a:solidFill>
                  <a:sysClr val="windowText" lastClr="000000">
                    <a:lumMod val="65000"/>
                    <a:lumOff val="35000"/>
                  </a:sysClr>
                </a:solidFill>
              </a:rPr>
              <a:t>Status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id-ID"/>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'Kelompok Total Frekuensi'!$B$3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4E-41EE-97CA-4A66B4B722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4E-41EE-97CA-4A66B4B722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14E-41EE-97CA-4A66B4B722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'Kelompok Total Frekuensi'!$A$4:$A$7</c:f>
              <c:strCache>
                <c:ptCount val="3"/>
                <c:pt idx="0">
                  <c:v>Aktif</c:v>
                </c:pt>
                <c:pt idx="1">
                  <c:v>Loyal</c:v>
                </c:pt>
                <c:pt idx="2">
                  <c:v>Pasif</c:v>
                </c:pt>
              </c:strCache>
            </c:strRef>
          </c:cat>
          <c:val>
            <c:numRef>
              <c:f>'Kelompok Total Frekuensi'!$B$4:$B$7</c:f>
              <c:numCache>
                <c:formatCode>General</c:formatCode>
                <c:ptCount val="3"/>
                <c:pt idx="0">
                  <c:v>74</c:v>
                </c:pt>
                <c:pt idx="1">
                  <c:v>13</c:v>
                </c:pt>
                <c:pt idx="2">
                  <c:v>13</c:v>
                </c:pt>
              </c:numCache>
            </c:numRef>
          </c:val>
          <c:extLst>
            <c:ext xmlns:c16="http://schemas.microsoft.com/office/drawing/2014/chart" uri="{C3380CC4-5D6E-409C-BE32-E72D297353CC}">
              <c16:uniqueId val="{00000006-014E-41EE-97CA-4A66B4B722D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365760</xdr:colOff>
      <xdr:row>3</xdr:row>
      <xdr:rowOff>19050</xdr:rowOff>
    </xdr:from>
    <xdr:to>
      <xdr:col>6</xdr:col>
      <xdr:colOff>15240</xdr:colOff>
      <xdr:row>18</xdr:row>
      <xdr:rowOff>19050</xdr:rowOff>
    </xdr:to>
    <xdr:graphicFrame macro="">
      <xdr:nvGraphicFramePr>
        <xdr:cNvPr id="4" name="Bagan 3">
          <a:extLst>
            <a:ext uri="{FF2B5EF4-FFF2-40B4-BE49-F238E27FC236}">
              <a16:creationId xmlns:a16="http://schemas.microsoft.com/office/drawing/2014/main" id="{F7DF0680-B4E2-267D-4BC1-472102435F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190500</xdr:colOff>
      <xdr:row>6</xdr:row>
      <xdr:rowOff>41910</xdr:rowOff>
    </xdr:from>
    <xdr:to>
      <xdr:col>7</xdr:col>
      <xdr:colOff>655320</xdr:colOff>
      <xdr:row>21</xdr:row>
      <xdr:rowOff>41910</xdr:rowOff>
    </xdr:to>
    <xdr:graphicFrame macro="">
      <xdr:nvGraphicFramePr>
        <xdr:cNvPr id="2" name="Bagan 1">
          <a:extLst>
            <a:ext uri="{FF2B5EF4-FFF2-40B4-BE49-F238E27FC236}">
              <a16:creationId xmlns:a16="http://schemas.microsoft.com/office/drawing/2014/main" id="{189B32B7-E1F0-8AD1-F522-1ED0F07D90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28325</xdr:colOff>
      <xdr:row>18</xdr:row>
      <xdr:rowOff>9524</xdr:rowOff>
    </xdr:to>
    <xdr:graphicFrame macro="">
      <xdr:nvGraphicFramePr>
        <xdr:cNvPr id="2" name="Bagan 1">
          <a:extLst>
            <a:ext uri="{FF2B5EF4-FFF2-40B4-BE49-F238E27FC236}">
              <a16:creationId xmlns:a16="http://schemas.microsoft.com/office/drawing/2014/main" id="{03D0A92B-7726-4C1F-BADB-29EC8E85C2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33131</xdr:colOff>
      <xdr:row>0</xdr:row>
      <xdr:rowOff>0</xdr:rowOff>
    </xdr:from>
    <xdr:to>
      <xdr:col>20</xdr:col>
      <xdr:colOff>585303</xdr:colOff>
      <xdr:row>18</xdr:row>
      <xdr:rowOff>9524</xdr:rowOff>
    </xdr:to>
    <xdr:graphicFrame macro="">
      <xdr:nvGraphicFramePr>
        <xdr:cNvPr id="3" name="Bagan 2">
          <a:extLst>
            <a:ext uri="{FF2B5EF4-FFF2-40B4-BE49-F238E27FC236}">
              <a16:creationId xmlns:a16="http://schemas.microsoft.com/office/drawing/2014/main" id="{8A857F47-FA3A-43FE-9667-E4A9187A48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18</xdr:row>
      <xdr:rowOff>38099</xdr:rowOff>
    </xdr:from>
    <xdr:to>
      <xdr:col>7</xdr:col>
      <xdr:colOff>478587</xdr:colOff>
      <xdr:row>33</xdr:row>
      <xdr:rowOff>35036</xdr:rowOff>
    </xdr:to>
    <mc:AlternateContent xmlns:mc="http://schemas.openxmlformats.org/markup-compatibility/2006" xmlns:a14="http://schemas.microsoft.com/office/drawing/2010/main">
      <mc:Choice Requires="a14">
        <xdr:graphicFrame macro="">
          <xdr:nvGraphicFramePr>
            <xdr:cNvPr id="4" name="Nama_Donatur 1">
              <a:extLst>
                <a:ext uri="{FF2B5EF4-FFF2-40B4-BE49-F238E27FC236}">
                  <a16:creationId xmlns:a16="http://schemas.microsoft.com/office/drawing/2014/main" id="{D3F0B33C-FFEC-7C0C-EA10-25001FD7FD24}"/>
                </a:ext>
              </a:extLst>
            </xdr:cNvPr>
            <xdr:cNvGraphicFramePr/>
          </xdr:nvGraphicFramePr>
          <xdr:xfrm>
            <a:off x="0" y="0"/>
            <a:ext cx="0" cy="0"/>
          </xdr:xfrm>
          <a:graphic>
            <a:graphicData uri="http://schemas.microsoft.com/office/drawing/2010/slicer">
              <sle:slicer xmlns:sle="http://schemas.microsoft.com/office/drawing/2010/slicer" name="Nama_Donatur 1"/>
            </a:graphicData>
          </a:graphic>
        </xdr:graphicFrame>
      </mc:Choice>
      <mc:Fallback xmlns="">
        <xdr:sp macro="" textlink="">
          <xdr:nvSpPr>
            <xdr:cNvPr id="0" name=""/>
            <xdr:cNvSpPr>
              <a:spLocks noTextEdit="1"/>
            </xdr:cNvSpPr>
          </xdr:nvSpPr>
          <xdr:spPr>
            <a:xfrm>
              <a:off x="0" y="3417403"/>
              <a:ext cx="4730326" cy="2813024"/>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twoCellAnchor editAs="oneCell">
    <xdr:from>
      <xdr:col>3</xdr:col>
      <xdr:colOff>0</xdr:colOff>
      <xdr:row>18</xdr:row>
      <xdr:rowOff>45719</xdr:rowOff>
    </xdr:from>
    <xdr:to>
      <xdr:col>10</xdr:col>
      <xdr:colOff>478587</xdr:colOff>
      <xdr:row>33</xdr:row>
      <xdr:rowOff>42656</xdr:rowOff>
    </xdr:to>
    <mc:AlternateContent xmlns:mc="http://schemas.openxmlformats.org/markup-compatibility/2006" xmlns:a14="http://schemas.microsoft.com/office/drawing/2010/main">
      <mc:Choice Requires="a14">
        <xdr:graphicFrame macro="">
          <xdr:nvGraphicFramePr>
            <xdr:cNvPr id="5" name="Jumlah dari Nominal 1">
              <a:extLst>
                <a:ext uri="{FF2B5EF4-FFF2-40B4-BE49-F238E27FC236}">
                  <a16:creationId xmlns:a16="http://schemas.microsoft.com/office/drawing/2014/main" id="{F4851FA1-EC19-987C-407C-D4BFDAC004FE}"/>
                </a:ext>
              </a:extLst>
            </xdr:cNvPr>
            <xdr:cNvGraphicFramePr/>
          </xdr:nvGraphicFramePr>
          <xdr:xfrm>
            <a:off x="0" y="0"/>
            <a:ext cx="0" cy="0"/>
          </xdr:xfrm>
          <a:graphic>
            <a:graphicData uri="http://schemas.microsoft.com/office/drawing/2010/slicer">
              <sle:slicer xmlns:sle="http://schemas.microsoft.com/office/drawing/2010/slicer" name="Jumlah dari Nominal 1"/>
            </a:graphicData>
          </a:graphic>
        </xdr:graphicFrame>
      </mc:Choice>
      <mc:Fallback xmlns="">
        <xdr:sp macro="" textlink="">
          <xdr:nvSpPr>
            <xdr:cNvPr id="0" name=""/>
            <xdr:cNvSpPr>
              <a:spLocks noTextEdit="1"/>
            </xdr:cNvSpPr>
          </xdr:nvSpPr>
          <xdr:spPr>
            <a:xfrm>
              <a:off x="1822174" y="3425023"/>
              <a:ext cx="4730326" cy="2813024"/>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twoCellAnchor editAs="oneCell">
    <xdr:from>
      <xdr:col>8</xdr:col>
      <xdr:colOff>397566</xdr:colOff>
      <xdr:row>18</xdr:row>
      <xdr:rowOff>43814</xdr:rowOff>
    </xdr:from>
    <xdr:to>
      <xdr:col>11</xdr:col>
      <xdr:colOff>496957</xdr:colOff>
      <xdr:row>33</xdr:row>
      <xdr:rowOff>40751</xdr:rowOff>
    </xdr:to>
    <mc:AlternateContent xmlns:mc="http://schemas.openxmlformats.org/markup-compatibility/2006" xmlns:a14="http://schemas.microsoft.com/office/drawing/2010/main">
      <mc:Choice Requires="a14">
        <xdr:graphicFrame macro="">
          <xdr:nvGraphicFramePr>
            <xdr:cNvPr id="6" name="Kelompok 1">
              <a:extLst>
                <a:ext uri="{FF2B5EF4-FFF2-40B4-BE49-F238E27FC236}">
                  <a16:creationId xmlns:a16="http://schemas.microsoft.com/office/drawing/2014/main" id="{B0B328CF-1762-8046-93D8-0E20F851BB16}"/>
                </a:ext>
              </a:extLst>
            </xdr:cNvPr>
            <xdr:cNvGraphicFramePr/>
          </xdr:nvGraphicFramePr>
          <xdr:xfrm>
            <a:off x="0" y="0"/>
            <a:ext cx="0" cy="0"/>
          </xdr:xfrm>
          <a:graphic>
            <a:graphicData uri="http://schemas.microsoft.com/office/drawing/2010/slicer">
              <sle:slicer xmlns:sle="http://schemas.microsoft.com/office/drawing/2010/slicer" name="Kelompok 1"/>
            </a:graphicData>
          </a:graphic>
        </xdr:graphicFrame>
      </mc:Choice>
      <mc:Fallback xmlns="">
        <xdr:sp macro="" textlink="">
          <xdr:nvSpPr>
            <xdr:cNvPr id="0" name=""/>
            <xdr:cNvSpPr>
              <a:spLocks noTextEdit="1"/>
            </xdr:cNvSpPr>
          </xdr:nvSpPr>
          <xdr:spPr>
            <a:xfrm>
              <a:off x="4984858" y="3423118"/>
              <a:ext cx="3371107" cy="2813024"/>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twoCellAnchor editAs="oneCell">
    <xdr:from>
      <xdr:col>5</xdr:col>
      <xdr:colOff>601980</xdr:colOff>
      <xdr:row>18</xdr:row>
      <xdr:rowOff>45719</xdr:rowOff>
    </xdr:from>
    <xdr:to>
      <xdr:col>8</xdr:col>
      <xdr:colOff>397566</xdr:colOff>
      <xdr:row>33</xdr:row>
      <xdr:rowOff>42656</xdr:rowOff>
    </xdr:to>
    <mc:AlternateContent xmlns:mc="http://schemas.openxmlformats.org/markup-compatibility/2006" xmlns:a14="http://schemas.microsoft.com/office/drawing/2010/main">
      <mc:Choice Requires="a14">
        <xdr:graphicFrame macro="">
          <xdr:nvGraphicFramePr>
            <xdr:cNvPr id="7" name="Frekuensi">
              <a:extLst>
                <a:ext uri="{FF2B5EF4-FFF2-40B4-BE49-F238E27FC236}">
                  <a16:creationId xmlns:a16="http://schemas.microsoft.com/office/drawing/2014/main" id="{F8B7DD30-74AD-39F2-6B99-82C3EDA99570}"/>
                </a:ext>
              </a:extLst>
            </xdr:cNvPr>
            <xdr:cNvGraphicFramePr/>
          </xdr:nvGraphicFramePr>
          <xdr:xfrm>
            <a:off x="0" y="0"/>
            <a:ext cx="0" cy="0"/>
          </xdr:xfrm>
          <a:graphic>
            <a:graphicData uri="http://schemas.microsoft.com/office/drawing/2010/slicer">
              <sle:slicer xmlns:sle="http://schemas.microsoft.com/office/drawing/2010/slicer" name="Frekuensi"/>
            </a:graphicData>
          </a:graphic>
        </xdr:graphicFrame>
      </mc:Choice>
      <mc:Fallback xmlns="">
        <xdr:sp macro="" textlink="">
          <xdr:nvSpPr>
            <xdr:cNvPr id="0" name=""/>
            <xdr:cNvSpPr>
              <a:spLocks noTextEdit="1"/>
            </xdr:cNvSpPr>
          </xdr:nvSpPr>
          <xdr:spPr>
            <a:xfrm>
              <a:off x="3638937" y="3425023"/>
              <a:ext cx="3489276" cy="2813024"/>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twoCellAnchor editAs="oneCell">
    <xdr:from>
      <xdr:col>11</xdr:col>
      <xdr:colOff>485913</xdr:colOff>
      <xdr:row>18</xdr:row>
      <xdr:rowOff>36194</xdr:rowOff>
    </xdr:from>
    <xdr:to>
      <xdr:col>15</xdr:col>
      <xdr:colOff>143564</xdr:colOff>
      <xdr:row>33</xdr:row>
      <xdr:rowOff>33131</xdr:rowOff>
    </xdr:to>
    <mc:AlternateContent xmlns:mc="http://schemas.openxmlformats.org/markup-compatibility/2006" xmlns:a14="http://schemas.microsoft.com/office/drawing/2010/main">
      <mc:Choice Requires="a14">
        <xdr:graphicFrame macro="">
          <xdr:nvGraphicFramePr>
            <xdr:cNvPr id="8" name="Status">
              <a:extLst>
                <a:ext uri="{FF2B5EF4-FFF2-40B4-BE49-F238E27FC236}">
                  <a16:creationId xmlns:a16="http://schemas.microsoft.com/office/drawing/2014/main" id="{31AC6890-F5B6-A615-233D-E361C0CA2A7F}"/>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6273937" y="3415498"/>
              <a:ext cx="2980497" cy="2813024"/>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twoCellAnchor editAs="oneCell">
    <xdr:from>
      <xdr:col>15</xdr:col>
      <xdr:colOff>147816</xdr:colOff>
      <xdr:row>17</xdr:row>
      <xdr:rowOff>172139</xdr:rowOff>
    </xdr:from>
    <xdr:to>
      <xdr:col>21</xdr:col>
      <xdr:colOff>10960</xdr:colOff>
      <xdr:row>26</xdr:row>
      <xdr:rowOff>28215</xdr:rowOff>
    </xdr:to>
    <mc:AlternateContent xmlns:mc="http://schemas.openxmlformats.org/markup-compatibility/2006" xmlns:tsle="http://schemas.microsoft.com/office/drawing/2012/timeslicer">
      <mc:Choice Requires="tsle">
        <xdr:graphicFrame macro="">
          <xdr:nvGraphicFramePr>
            <xdr:cNvPr id="9" name="Tanggal Awal">
              <a:extLst>
                <a:ext uri="{FF2B5EF4-FFF2-40B4-BE49-F238E27FC236}">
                  <a16:creationId xmlns:a16="http://schemas.microsoft.com/office/drawing/2014/main" id="{A687A3CF-BEAB-D967-2127-8FA64743A7E9}"/>
                </a:ext>
              </a:extLst>
            </xdr:cNvPr>
            <xdr:cNvGraphicFramePr/>
          </xdr:nvGraphicFramePr>
          <xdr:xfrm>
            <a:off x="0" y="0"/>
            <a:ext cx="0" cy="0"/>
          </xdr:xfrm>
          <a:graphic>
            <a:graphicData uri="http://schemas.microsoft.com/office/drawing/2012/timeslicer">
              <tsle:timeslicer name="Tanggal Awal"/>
            </a:graphicData>
          </a:graphic>
        </xdr:graphicFrame>
      </mc:Choice>
      <mc:Fallback xmlns="">
        <xdr:sp macro="" textlink="">
          <xdr:nvSpPr>
            <xdr:cNvPr id="0" name=""/>
            <xdr:cNvSpPr>
              <a:spLocks noTextEdit="1"/>
            </xdr:cNvSpPr>
          </xdr:nvSpPr>
          <xdr:spPr>
            <a:xfrm>
              <a:off x="9258686" y="3363704"/>
              <a:ext cx="3507491" cy="1545728"/>
            </a:xfrm>
            <a:prstGeom prst="rect">
              <a:avLst/>
            </a:prstGeom>
            <a:solidFill>
              <a:prstClr val="white"/>
            </a:solidFill>
            <a:ln w="1">
              <a:solidFill>
                <a:prstClr val="green"/>
              </a:solidFill>
            </a:ln>
          </xdr:spPr>
          <xdr:txBody>
            <a:bodyPr vertOverflow="clip" horzOverflow="clip"/>
            <a:lstStyle/>
            <a:p>
              <a:r>
                <a:rPr lang="id-ID" sz="1100"/>
                <a:t>Garis Waktu: Berfungsi di Excel 2013 atau yang lebih tinggi. Jangan memindahkannya atau mengubah ukurannya.</a:t>
              </a:r>
            </a:p>
          </xdr:txBody>
        </xdr:sp>
      </mc:Fallback>
    </mc:AlternateContent>
    <xdr:clientData/>
  </xdr:twoCellAnchor>
  <xdr:twoCellAnchor editAs="oneCell">
    <xdr:from>
      <xdr:col>15</xdr:col>
      <xdr:colOff>118496</xdr:colOff>
      <xdr:row>26</xdr:row>
      <xdr:rowOff>58336</xdr:rowOff>
    </xdr:from>
    <xdr:to>
      <xdr:col>20</xdr:col>
      <xdr:colOff>589031</xdr:colOff>
      <xdr:row>34</xdr:row>
      <xdr:rowOff>108915</xdr:rowOff>
    </xdr:to>
    <mc:AlternateContent xmlns:mc="http://schemas.openxmlformats.org/markup-compatibility/2006" xmlns:tsle="http://schemas.microsoft.com/office/drawing/2012/timeslicer">
      <mc:Choice Requires="tsle">
        <xdr:graphicFrame macro="">
          <xdr:nvGraphicFramePr>
            <xdr:cNvPr id="10" name="Tanggal Akhir">
              <a:extLst>
                <a:ext uri="{FF2B5EF4-FFF2-40B4-BE49-F238E27FC236}">
                  <a16:creationId xmlns:a16="http://schemas.microsoft.com/office/drawing/2014/main" id="{B10BE6CA-5B2D-7933-8409-19590BD2AEB5}"/>
                </a:ext>
              </a:extLst>
            </xdr:cNvPr>
            <xdr:cNvGraphicFramePr/>
          </xdr:nvGraphicFramePr>
          <xdr:xfrm>
            <a:off x="0" y="0"/>
            <a:ext cx="0" cy="0"/>
          </xdr:xfrm>
          <a:graphic>
            <a:graphicData uri="http://schemas.microsoft.com/office/drawing/2012/timeslicer">
              <tsle:timeslicer name="Tanggal Akhir"/>
            </a:graphicData>
          </a:graphic>
        </xdr:graphicFrame>
      </mc:Choice>
      <mc:Fallback xmlns="">
        <xdr:sp macro="" textlink="">
          <xdr:nvSpPr>
            <xdr:cNvPr id="0" name=""/>
            <xdr:cNvSpPr>
              <a:spLocks noTextEdit="1"/>
            </xdr:cNvSpPr>
          </xdr:nvSpPr>
          <xdr:spPr>
            <a:xfrm>
              <a:off x="9229366" y="4939553"/>
              <a:ext cx="3507491" cy="1552492"/>
            </a:xfrm>
            <a:prstGeom prst="rect">
              <a:avLst/>
            </a:prstGeom>
            <a:solidFill>
              <a:prstClr val="white"/>
            </a:solidFill>
            <a:ln w="1">
              <a:solidFill>
                <a:prstClr val="green"/>
              </a:solidFill>
            </a:ln>
          </xdr:spPr>
          <xdr:txBody>
            <a:bodyPr vertOverflow="clip" horzOverflow="clip"/>
            <a:lstStyle/>
            <a:p>
              <a:r>
                <a:rPr lang="id-ID" sz="1100"/>
                <a:t>Garis Waktu: Berfungsi di Excel 2013 atau yang lebih tinggi. Jangan memindahkannya atau mengubah ukurannya.</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zmi Taqiyudin" refreshedDate="45981.339668865738" createdVersion="8" refreshedVersion="8" minRefreshableVersion="3" recordCount="100" xr:uid="{992AF4F6-BB23-47CB-925A-AB5DEF81F82B}">
  <cacheSource type="worksheet">
    <worksheetSource name="Tabel4"/>
  </cacheSource>
  <cacheFields count="13">
    <cacheField name="Nama_Donatur" numFmtId="0">
      <sharedItems count="100">
        <s v="Aisyah Yuniar"/>
        <s v="Ajiman Sudiati, S.IP"/>
        <s v="Alika Nurdiyanti"/>
        <s v="Ami Haryanti, S.Gz"/>
        <s v="Ana Tampubolon"/>
        <s v="Bahuwirya Thamrin"/>
        <s v="Carub Namaga"/>
        <s v="Cemani Kuswandari"/>
        <s v="Cut Dina Kuswandari, S.Psi"/>
        <s v="Danu Waluyo"/>
        <s v="Darmana Safitri, S.T."/>
        <s v="Dina Yulianti, S.H."/>
        <s v="dr. Dinda Suryatmi"/>
        <s v="Dr. Ika Wacana"/>
        <s v="dr. Luluh Siregar, M.Ak"/>
        <s v="drg. Hartana Zulkarnain"/>
        <s v="Drs. Febi Simbolon"/>
        <s v="Drs. Yani Firmansyah"/>
        <s v="Drs. Zulaikha Kuswandari, S.Sos"/>
        <s v="Dt. Cawisono Mustofa"/>
        <s v="Dt. Kardi Sitompul"/>
        <s v="Dt. Pangestu Suwarno, M.M."/>
        <s v="Edi Simbolon"/>
        <s v="Ega Gunawan"/>
        <s v="Elisa Prakasa"/>
        <s v="Ellis Zulaika"/>
        <s v="Emas Nababan"/>
        <s v="Endah Najmudin"/>
        <s v="Gading Hardiansyah"/>
        <s v="Gaiman Astuti"/>
        <s v="Gamani Saptono"/>
        <s v="Gandewa Wijayanti"/>
        <s v="H. Cakrawala Winarno"/>
        <s v="H. Karta Pratiwi, S.Pd"/>
        <s v="Ikhsan Damanik"/>
        <s v="Ir. Ajiman Novitasari"/>
        <s v="Ir. Edward Prakasa, M.M."/>
        <s v="Ir. Gantar Safitri, S.IP"/>
        <s v="Ir. Lintang Kusmawati, S.T."/>
        <s v="Ir. Mahmud Namaga, M.Kom."/>
        <s v="Ir. Rendy Nasyiah, M.Kom."/>
        <s v="Jaga Wahyuni"/>
        <s v="Jamil Astuti"/>
        <s v="Jaswadi Nashiruddin"/>
        <s v="Juli Habibi"/>
        <s v="Julia Sitorus"/>
        <s v="Kayla Usamah"/>
        <s v="Kezia Maryadi"/>
        <s v="Laksana Rajasa"/>
        <s v="Lili Maheswara"/>
        <s v="Lukita Winarsih"/>
        <s v="Luwes Hakim"/>
        <s v="Mahesa Mahendra"/>
        <s v="Michelle Siregar"/>
        <s v="Nadia Permata"/>
        <s v="Nadine Melani"/>
        <s v="Natalia Marbun"/>
        <s v="Nurul Tarihoran"/>
        <s v="Oskar Permata"/>
        <s v="Panji Oktaviani"/>
        <s v="Prakosa Kuswoyo"/>
        <s v="Puji Latupono, M.TI."/>
        <s v="Puspa Napitupulu"/>
        <s v="Puti Ardianto"/>
        <s v="Puti Paramita Nainggolan"/>
        <s v="Puti Rahmi Dongoran"/>
        <s v="Puti Talia Siregar, S.Pd"/>
        <s v="Qori Pudjiastuti, M.Ak"/>
        <s v="R. Balidin Maulana, M.Pd"/>
        <s v="R. Dimaz Tarihoran"/>
        <s v="R. Edison Saragih, S.Farm"/>
        <s v="R. Ratih Wastuti"/>
        <s v="R.M. Eko Megantara, S.E."/>
        <s v="Rahmat Hastuti"/>
        <s v="Rini Pradana"/>
        <s v="Septi Latupono, S.H."/>
        <s v="Shania Usada"/>
        <s v="Suci Tamba"/>
        <s v="Syahrini Wijayanti, M.Farm"/>
        <s v="T. Caturangga Hasanah, S.E.I"/>
        <s v="T. Naradi Usada, S.E."/>
        <s v="Talia Wibowo"/>
        <s v="Tgk. Ani Wahyudin"/>
        <s v="Tgk. Pandu Mansur, S.Psi"/>
        <s v="Tgk. Raisa Megantara, M.Pd"/>
        <s v="Tgk. Victoria Wijaya"/>
        <s v="Tiara Adriansyah"/>
        <s v="Titi Laksmiwati"/>
        <s v="Titi Maheswara"/>
        <s v="Vega Wacana"/>
        <s v="Vino Permata"/>
        <s v="Virman Rajata"/>
        <s v="Wage Saefullah"/>
        <s v="Wahyu Uyainah"/>
        <s v="Widya Prasasta"/>
        <s v="Yani Nuraini"/>
        <s v="Yuliana Utami"/>
        <s v="Zalindra Wastuti"/>
        <s v="Zalindra Widodo, S.T."/>
        <s v="Zizi Yolanda"/>
      </sharedItems>
    </cacheField>
    <cacheField name="Jumlah dari Nominal" numFmtId="166">
      <sharedItems containsSemiMixedTypes="0" containsString="0" containsNumber="1" containsInteger="1" minValue="3050000" maxValue="135600000" count="97">
        <n v="49000000"/>
        <n v="47400000"/>
        <n v="7500000"/>
        <n v="26300000"/>
        <n v="50950000"/>
        <n v="24900000"/>
        <n v="115650000"/>
        <n v="30150000"/>
        <n v="97200000"/>
        <n v="36200000"/>
        <n v="63400000"/>
        <n v="57450000"/>
        <n v="29050000"/>
        <n v="18900000"/>
        <n v="10400000"/>
        <n v="33150000"/>
        <n v="31750000"/>
        <n v="26900000"/>
        <n v="39700000"/>
        <n v="36400000"/>
        <n v="61950000"/>
        <n v="7850000"/>
        <n v="15700000"/>
        <n v="50750000"/>
        <n v="42050000"/>
        <n v="42100000"/>
        <n v="30750000"/>
        <n v="21600000"/>
        <n v="19400000"/>
        <n v="46550000"/>
        <n v="48550000"/>
        <n v="41150000"/>
        <n v="86000000"/>
        <n v="40900000"/>
        <n v="63700000"/>
        <n v="52700000"/>
        <n v="15200000"/>
        <n v="55750000"/>
        <n v="25800000"/>
        <n v="18400000"/>
        <n v="67900000"/>
        <n v="23800000"/>
        <n v="22000000"/>
        <n v="73400000"/>
        <n v="42850000"/>
        <n v="32400000"/>
        <n v="50500000"/>
        <n v="24500000"/>
        <n v="45950000"/>
        <n v="3050000"/>
        <n v="55250000"/>
        <n v="30650000"/>
        <n v="12000000"/>
        <n v="26650000"/>
        <n v="24200000"/>
        <n v="40750000"/>
        <n v="56850000"/>
        <n v="52300000"/>
        <n v="35400000"/>
        <n v="30000000"/>
        <n v="26200000"/>
        <n v="50550000"/>
        <n v="135600000"/>
        <n v="53250000"/>
        <n v="25500000"/>
        <n v="57850000"/>
        <n v="37700000"/>
        <n v="44400000"/>
        <n v="28750000"/>
        <n v="8900000"/>
        <n v="22850000"/>
        <n v="26100000"/>
        <n v="9150000"/>
        <n v="37400000"/>
        <n v="47350000"/>
        <n v="28450000"/>
        <n v="26350000"/>
        <n v="23700000"/>
        <n v="8650000"/>
        <n v="48350000"/>
        <n v="46450000"/>
        <n v="47600000"/>
        <n v="53350000"/>
        <n v="51750000"/>
        <n v="30400000"/>
        <n v="84750000"/>
        <n v="66400000"/>
        <n v="14000000"/>
        <n v="26800000"/>
        <n v="10350000"/>
        <n v="45000000"/>
        <n v="73750000"/>
        <n v="41700000"/>
        <n v="40950000"/>
        <n v="55700000"/>
        <n v="28500000"/>
        <n v="27750000"/>
      </sharedItems>
    </cacheField>
    <cacheField name="Kelompok" numFmtId="0">
      <sharedItems count="4">
        <s v="Diamond"/>
        <s v="Silver"/>
        <s v="Gold"/>
        <s v="Bronze"/>
      </sharedItems>
    </cacheField>
    <cacheField name="Frekuensi" numFmtId="0">
      <sharedItems containsSemiMixedTypes="0" containsString="0" containsNumber="1" containsInteger="1" minValue="3" maxValue="19" count="16">
        <n v="17"/>
        <n v="7"/>
        <n v="6"/>
        <n v="9"/>
        <n v="11"/>
        <n v="12"/>
        <n v="3"/>
        <n v="14"/>
        <n v="10"/>
        <n v="8"/>
        <n v="13"/>
        <n v="15"/>
        <n v="5"/>
        <n v="16"/>
        <n v="4"/>
        <n v="19"/>
      </sharedItems>
    </cacheField>
    <cacheField name="Tanggal Awal" numFmtId="165">
      <sharedItems containsSemiMixedTypes="0" containsNonDate="0" containsDate="1" containsString="0" minDate="2025-01-03T00:00:00" maxDate="2025-07-14T00:00:00" count="53">
        <d v="2025-01-11T00:00:00"/>
        <d v="2025-02-22T00:00:00"/>
        <d v="2025-01-03T00:00:00"/>
        <d v="2025-01-31T00:00:00"/>
        <d v="2025-01-27T00:00:00"/>
        <d v="2025-01-28T00:00:00"/>
        <d v="2025-01-19T00:00:00"/>
        <d v="2025-07-13T00:00:00"/>
        <d v="2025-01-07T00:00:00"/>
        <d v="2025-01-08T00:00:00"/>
        <d v="2025-02-12T00:00:00"/>
        <d v="2025-01-10T00:00:00"/>
        <d v="2025-01-25T00:00:00"/>
        <d v="2025-01-05T00:00:00"/>
        <d v="2025-01-26T00:00:00"/>
        <d v="2025-02-17T00:00:00"/>
        <d v="2025-02-01T00:00:00"/>
        <d v="2025-01-23T00:00:00"/>
        <d v="2025-03-27T00:00:00"/>
        <d v="2025-01-20T00:00:00"/>
        <d v="2025-03-02T00:00:00"/>
        <d v="2025-01-13T00:00:00"/>
        <d v="2025-02-06T00:00:00"/>
        <d v="2025-04-08T00:00:00"/>
        <d v="2025-02-04T00:00:00"/>
        <d v="2025-02-24T00:00:00"/>
        <d v="2025-02-25T00:00:00"/>
        <d v="2025-01-17T00:00:00"/>
        <d v="2025-01-14T00:00:00"/>
        <d v="2025-03-04T00:00:00"/>
        <d v="2025-02-08T00:00:00"/>
        <d v="2025-01-04T00:00:00"/>
        <d v="2025-02-20T00:00:00"/>
        <d v="2025-01-18T00:00:00"/>
        <d v="2025-03-03T00:00:00"/>
        <d v="2025-01-22T00:00:00"/>
        <d v="2025-02-07T00:00:00"/>
        <d v="2025-02-18T00:00:00"/>
        <d v="2025-01-16T00:00:00"/>
        <d v="2025-01-21T00:00:00"/>
        <d v="2025-01-15T00:00:00"/>
        <d v="2025-02-21T00:00:00"/>
        <d v="2025-01-12T00:00:00"/>
        <d v="2025-01-09T00:00:00"/>
        <d v="2025-02-02T00:00:00"/>
        <d v="2025-02-11T00:00:00"/>
        <d v="2025-01-29T00:00:00"/>
        <d v="2025-02-10T00:00:00"/>
        <d v="2025-01-30T00:00:00"/>
        <d v="2025-02-05T00:00:00"/>
        <d v="2025-02-14T00:00:00"/>
        <d v="2025-04-03T00:00:00"/>
        <d v="2025-03-19T00:00:00"/>
      </sharedItems>
      <fieldGroup par="10"/>
    </cacheField>
    <cacheField name="Tanggal Akhir" numFmtId="165">
      <sharedItems containsSemiMixedTypes="0" containsNonDate="0" containsDate="1" containsString="0" minDate="2025-05-18T00:00:00" maxDate="2025-10-04T00:00:00" count="51">
        <d v="2025-09-21T00:00:00"/>
        <d v="2025-09-01T00:00:00"/>
        <d v="2025-06-02T00:00:00"/>
        <d v="2025-09-16T00:00:00"/>
        <d v="2025-09-11T00:00:00"/>
        <d v="2025-10-02T00:00:00"/>
        <d v="2025-09-28T00:00:00"/>
        <d v="2025-09-06T00:00:00"/>
        <d v="2025-09-30T00:00:00"/>
        <d v="2025-08-31T00:00:00"/>
        <d v="2025-07-23T00:00:00"/>
        <d v="2025-09-15T00:00:00"/>
        <d v="2025-09-22T00:00:00"/>
        <d v="2025-09-29T00:00:00"/>
        <d v="2025-09-10T00:00:00"/>
        <d v="2025-07-24T00:00:00"/>
        <d v="2025-09-20T00:00:00"/>
        <d v="2025-08-18T00:00:00"/>
        <d v="2025-08-30T00:00:00"/>
        <d v="2025-08-21T00:00:00"/>
        <d v="2025-08-20T00:00:00"/>
        <d v="2025-08-23T00:00:00"/>
        <d v="2025-06-10T00:00:00"/>
        <d v="2025-08-24T00:00:00"/>
        <d v="2025-09-02T00:00:00"/>
        <d v="2025-09-14T00:00:00"/>
        <d v="2025-06-14T00:00:00"/>
        <d v="2025-10-01T00:00:00"/>
        <d v="2025-09-12T00:00:00"/>
        <d v="2025-09-13T00:00:00"/>
        <d v="2025-09-23T00:00:00"/>
        <d v="2025-07-25T00:00:00"/>
        <d v="2025-05-18T00:00:00"/>
        <d v="2025-08-03T00:00:00"/>
        <d v="2025-09-26T00:00:00"/>
        <d v="2025-08-27T00:00:00"/>
        <d v="2025-07-20T00:00:00"/>
        <d v="2025-08-17T00:00:00"/>
        <d v="2025-09-07T00:00:00"/>
        <d v="2025-09-24T00:00:00"/>
        <d v="2025-09-18T00:00:00"/>
        <d v="2025-08-15T00:00:00"/>
        <d v="2025-07-27T00:00:00"/>
        <d v="2025-06-23T00:00:00"/>
        <d v="2025-10-03T00:00:00"/>
        <d v="2025-08-29T00:00:00"/>
        <d v="2025-08-16T00:00:00"/>
        <d v="2025-09-17T00:00:00"/>
        <d v="2025-08-26T00:00:00"/>
        <d v="2025-09-09T00:00:00"/>
        <d v="2025-05-20T00:00:00"/>
      </sharedItems>
      <fieldGroup par="12"/>
    </cacheField>
    <cacheField name="Jarak Transaksi Terakhir sampai Hari Ini" numFmtId="0">
      <sharedItems containsSemiMixedTypes="0" containsString="0" containsNumber="1" containsInteger="1" minValue="1" maxValue="6" count="6">
        <n v="2"/>
        <n v="5"/>
        <n v="1"/>
        <n v="3"/>
        <n v="4"/>
        <n v="6"/>
      </sharedItems>
    </cacheField>
    <cacheField name="Rata-Rata Jumlah Transaksi per Bulan" numFmtId="0">
      <sharedItems containsSemiMixedTypes="0" containsString="0" containsNumber="1" minValue="0.5714285714285714" maxValue="4"/>
    </cacheField>
    <cacheField name="Status" numFmtId="0">
      <sharedItems count="3">
        <s v="Loyal"/>
        <s v="Aktif"/>
        <s v="Pasif"/>
      </sharedItems>
    </cacheField>
    <cacheField name="Hari (Tanggal Awal)" numFmtId="0" databaseField="0">
      <fieldGroup base="4">
        <rangePr groupBy="days" startDate="2025-01-03T00:00:00" endDate="2025-07-14T00:00:00"/>
        <groupItems count="368">
          <s v="&lt;1/3/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4/2025"/>
        </groupItems>
      </fieldGroup>
    </cacheField>
    <cacheField name="Bulan (Tanggal Awal)" numFmtId="0" databaseField="0">
      <fieldGroup base="4">
        <rangePr groupBy="months" startDate="2025-01-03T00:00:00" endDate="2025-07-14T00:00:00"/>
        <groupItems count="14">
          <s v="&lt;1/3/2025"/>
          <s v="Jan"/>
          <s v="Feb"/>
          <s v="Mar"/>
          <s v="Apr"/>
          <s v="May"/>
          <s v="Jun"/>
          <s v="Jul"/>
          <s v="Aug"/>
          <s v="Sep"/>
          <s v="Oct"/>
          <s v="Nov"/>
          <s v="Dec"/>
          <s v="&gt;7/14/2025"/>
        </groupItems>
      </fieldGroup>
    </cacheField>
    <cacheField name="Hari (Tanggal Akhir)" numFmtId="0" databaseField="0">
      <fieldGroup base="5">
        <rangePr groupBy="days" startDate="2025-05-18T00:00:00" endDate="2025-10-04T00:00:00"/>
        <groupItems count="368">
          <s v="&lt;5/18/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0/4/2025"/>
        </groupItems>
      </fieldGroup>
    </cacheField>
    <cacheField name="Bulan (Tanggal Akhir)" numFmtId="0" databaseField="0">
      <fieldGroup base="5">
        <rangePr groupBy="months" startDate="2025-05-18T00:00:00" endDate="2025-10-04T00:00:00"/>
        <groupItems count="14">
          <s v="&lt;5/18/2025"/>
          <s v="Jan"/>
          <s v="Feb"/>
          <s v="Mar"/>
          <s v="Apr"/>
          <s v="May"/>
          <s v="Jun"/>
          <s v="Jul"/>
          <s v="Aug"/>
          <s v="Sep"/>
          <s v="Oct"/>
          <s v="Nov"/>
          <s v="Dec"/>
          <s v="&gt;10/4/2025"/>
        </groupItems>
      </fieldGroup>
    </cacheField>
  </cacheFields>
  <extLst>
    <ext xmlns:x14="http://schemas.microsoft.com/office/spreadsheetml/2009/9/main" uri="{725AE2AE-9491-48be-B2B4-4EB974FC3084}">
      <x14:pivotCacheDefinition pivotCacheId="11769913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x v="0"/>
    <x v="0"/>
    <x v="0"/>
    <n v="2.125"/>
    <x v="0"/>
  </r>
  <r>
    <x v="1"/>
    <x v="1"/>
    <x v="0"/>
    <x v="1"/>
    <x v="1"/>
    <x v="1"/>
    <x v="0"/>
    <n v="1"/>
    <x v="1"/>
  </r>
  <r>
    <x v="2"/>
    <x v="2"/>
    <x v="1"/>
    <x v="2"/>
    <x v="2"/>
    <x v="2"/>
    <x v="1"/>
    <n v="1.2"/>
    <x v="2"/>
  </r>
  <r>
    <x v="3"/>
    <x v="3"/>
    <x v="0"/>
    <x v="3"/>
    <x v="3"/>
    <x v="3"/>
    <x v="0"/>
    <n v="1.125"/>
    <x v="1"/>
  </r>
  <r>
    <x v="4"/>
    <x v="4"/>
    <x v="0"/>
    <x v="4"/>
    <x v="4"/>
    <x v="4"/>
    <x v="0"/>
    <n v="1.375"/>
    <x v="1"/>
  </r>
  <r>
    <x v="5"/>
    <x v="5"/>
    <x v="0"/>
    <x v="5"/>
    <x v="5"/>
    <x v="5"/>
    <x v="2"/>
    <n v="1.3333333333333333"/>
    <x v="1"/>
  </r>
  <r>
    <x v="6"/>
    <x v="6"/>
    <x v="0"/>
    <x v="0"/>
    <x v="6"/>
    <x v="3"/>
    <x v="0"/>
    <n v="2.125"/>
    <x v="0"/>
  </r>
  <r>
    <x v="7"/>
    <x v="7"/>
    <x v="0"/>
    <x v="6"/>
    <x v="7"/>
    <x v="6"/>
    <x v="0"/>
    <n v="1.5"/>
    <x v="1"/>
  </r>
  <r>
    <x v="8"/>
    <x v="8"/>
    <x v="0"/>
    <x v="7"/>
    <x v="8"/>
    <x v="7"/>
    <x v="0"/>
    <n v="1.75"/>
    <x v="1"/>
  </r>
  <r>
    <x v="9"/>
    <x v="9"/>
    <x v="0"/>
    <x v="8"/>
    <x v="5"/>
    <x v="8"/>
    <x v="0"/>
    <n v="1.25"/>
    <x v="1"/>
  </r>
  <r>
    <x v="10"/>
    <x v="10"/>
    <x v="0"/>
    <x v="4"/>
    <x v="9"/>
    <x v="9"/>
    <x v="3"/>
    <n v="1.5714285714285714"/>
    <x v="1"/>
  </r>
  <r>
    <x v="11"/>
    <x v="11"/>
    <x v="0"/>
    <x v="4"/>
    <x v="10"/>
    <x v="10"/>
    <x v="4"/>
    <n v="2.2000000000000002"/>
    <x v="0"/>
  </r>
  <r>
    <x v="12"/>
    <x v="12"/>
    <x v="0"/>
    <x v="5"/>
    <x v="11"/>
    <x v="5"/>
    <x v="2"/>
    <n v="1.3333333333333333"/>
    <x v="1"/>
  </r>
  <r>
    <x v="13"/>
    <x v="13"/>
    <x v="2"/>
    <x v="5"/>
    <x v="12"/>
    <x v="11"/>
    <x v="0"/>
    <n v="1.5"/>
    <x v="1"/>
  </r>
  <r>
    <x v="14"/>
    <x v="14"/>
    <x v="2"/>
    <x v="9"/>
    <x v="13"/>
    <x v="12"/>
    <x v="0"/>
    <n v="1"/>
    <x v="1"/>
  </r>
  <r>
    <x v="15"/>
    <x v="15"/>
    <x v="0"/>
    <x v="9"/>
    <x v="14"/>
    <x v="6"/>
    <x v="0"/>
    <n v="1"/>
    <x v="1"/>
  </r>
  <r>
    <x v="16"/>
    <x v="16"/>
    <x v="0"/>
    <x v="4"/>
    <x v="2"/>
    <x v="12"/>
    <x v="0"/>
    <n v="1.375"/>
    <x v="1"/>
  </r>
  <r>
    <x v="17"/>
    <x v="17"/>
    <x v="0"/>
    <x v="8"/>
    <x v="15"/>
    <x v="13"/>
    <x v="0"/>
    <n v="1.4285714285714286"/>
    <x v="1"/>
  </r>
  <r>
    <x v="18"/>
    <x v="18"/>
    <x v="0"/>
    <x v="8"/>
    <x v="14"/>
    <x v="1"/>
    <x v="0"/>
    <n v="1.25"/>
    <x v="1"/>
  </r>
  <r>
    <x v="19"/>
    <x v="19"/>
    <x v="0"/>
    <x v="4"/>
    <x v="16"/>
    <x v="14"/>
    <x v="0"/>
    <n v="1.5714285714285714"/>
    <x v="1"/>
  </r>
  <r>
    <x v="20"/>
    <x v="20"/>
    <x v="0"/>
    <x v="5"/>
    <x v="6"/>
    <x v="3"/>
    <x v="0"/>
    <n v="1.5"/>
    <x v="1"/>
  </r>
  <r>
    <x v="21"/>
    <x v="21"/>
    <x v="1"/>
    <x v="1"/>
    <x v="17"/>
    <x v="15"/>
    <x v="4"/>
    <n v="1.1666666666666667"/>
    <x v="2"/>
  </r>
  <r>
    <x v="22"/>
    <x v="22"/>
    <x v="2"/>
    <x v="9"/>
    <x v="18"/>
    <x v="16"/>
    <x v="0"/>
    <n v="1.3333333333333333"/>
    <x v="1"/>
  </r>
  <r>
    <x v="23"/>
    <x v="23"/>
    <x v="0"/>
    <x v="3"/>
    <x v="0"/>
    <x v="5"/>
    <x v="2"/>
    <n v="1"/>
    <x v="1"/>
  </r>
  <r>
    <x v="24"/>
    <x v="24"/>
    <x v="0"/>
    <x v="9"/>
    <x v="9"/>
    <x v="17"/>
    <x v="3"/>
    <n v="1.1428571428571428"/>
    <x v="2"/>
  </r>
  <r>
    <x v="25"/>
    <x v="25"/>
    <x v="0"/>
    <x v="5"/>
    <x v="19"/>
    <x v="8"/>
    <x v="0"/>
    <n v="1.5"/>
    <x v="1"/>
  </r>
  <r>
    <x v="26"/>
    <x v="26"/>
    <x v="0"/>
    <x v="8"/>
    <x v="20"/>
    <x v="18"/>
    <x v="3"/>
    <n v="2"/>
    <x v="0"/>
  </r>
  <r>
    <x v="27"/>
    <x v="27"/>
    <x v="0"/>
    <x v="9"/>
    <x v="9"/>
    <x v="0"/>
    <x v="0"/>
    <n v="1"/>
    <x v="1"/>
  </r>
  <r>
    <x v="28"/>
    <x v="28"/>
    <x v="2"/>
    <x v="10"/>
    <x v="21"/>
    <x v="19"/>
    <x v="3"/>
    <n v="1.8571428571428572"/>
    <x v="1"/>
  </r>
  <r>
    <x v="29"/>
    <x v="29"/>
    <x v="0"/>
    <x v="9"/>
    <x v="2"/>
    <x v="20"/>
    <x v="3"/>
    <n v="1.1428571428571428"/>
    <x v="1"/>
  </r>
  <r>
    <x v="30"/>
    <x v="30"/>
    <x v="0"/>
    <x v="10"/>
    <x v="11"/>
    <x v="6"/>
    <x v="0"/>
    <n v="1.625"/>
    <x v="1"/>
  </r>
  <r>
    <x v="31"/>
    <x v="31"/>
    <x v="0"/>
    <x v="5"/>
    <x v="22"/>
    <x v="21"/>
    <x v="3"/>
    <n v="2"/>
    <x v="0"/>
  </r>
  <r>
    <x v="32"/>
    <x v="32"/>
    <x v="0"/>
    <x v="11"/>
    <x v="0"/>
    <x v="8"/>
    <x v="0"/>
    <n v="1.875"/>
    <x v="1"/>
  </r>
  <r>
    <x v="33"/>
    <x v="33"/>
    <x v="0"/>
    <x v="12"/>
    <x v="23"/>
    <x v="22"/>
    <x v="1"/>
    <n v="2.5"/>
    <x v="0"/>
  </r>
  <r>
    <x v="34"/>
    <x v="34"/>
    <x v="0"/>
    <x v="8"/>
    <x v="6"/>
    <x v="23"/>
    <x v="3"/>
    <n v="1.4285714285714286"/>
    <x v="1"/>
  </r>
  <r>
    <x v="35"/>
    <x v="35"/>
    <x v="0"/>
    <x v="5"/>
    <x v="24"/>
    <x v="24"/>
    <x v="0"/>
    <n v="1.7142857142857142"/>
    <x v="1"/>
  </r>
  <r>
    <x v="36"/>
    <x v="36"/>
    <x v="2"/>
    <x v="2"/>
    <x v="25"/>
    <x v="25"/>
    <x v="0"/>
    <n v="0.8571428571428571"/>
    <x v="1"/>
  </r>
  <r>
    <x v="37"/>
    <x v="37"/>
    <x v="0"/>
    <x v="9"/>
    <x v="26"/>
    <x v="26"/>
    <x v="1"/>
    <n v="2"/>
    <x v="0"/>
  </r>
  <r>
    <x v="38"/>
    <x v="38"/>
    <x v="0"/>
    <x v="5"/>
    <x v="4"/>
    <x v="27"/>
    <x v="2"/>
    <n v="1.3333333333333333"/>
    <x v="1"/>
  </r>
  <r>
    <x v="39"/>
    <x v="39"/>
    <x v="2"/>
    <x v="0"/>
    <x v="2"/>
    <x v="28"/>
    <x v="0"/>
    <n v="2.125"/>
    <x v="0"/>
  </r>
  <r>
    <x v="40"/>
    <x v="40"/>
    <x v="0"/>
    <x v="5"/>
    <x v="27"/>
    <x v="29"/>
    <x v="0"/>
    <n v="1.5"/>
    <x v="1"/>
  </r>
  <r>
    <x v="41"/>
    <x v="41"/>
    <x v="0"/>
    <x v="3"/>
    <x v="28"/>
    <x v="5"/>
    <x v="2"/>
    <n v="1"/>
    <x v="1"/>
  </r>
  <r>
    <x v="42"/>
    <x v="32"/>
    <x v="0"/>
    <x v="10"/>
    <x v="29"/>
    <x v="30"/>
    <x v="0"/>
    <n v="2.1666666666666665"/>
    <x v="0"/>
  </r>
  <r>
    <x v="43"/>
    <x v="42"/>
    <x v="0"/>
    <x v="8"/>
    <x v="30"/>
    <x v="8"/>
    <x v="0"/>
    <n v="1.4285714285714286"/>
    <x v="1"/>
  </r>
  <r>
    <x v="44"/>
    <x v="43"/>
    <x v="0"/>
    <x v="13"/>
    <x v="13"/>
    <x v="11"/>
    <x v="0"/>
    <n v="2"/>
    <x v="0"/>
  </r>
  <r>
    <x v="45"/>
    <x v="44"/>
    <x v="0"/>
    <x v="8"/>
    <x v="31"/>
    <x v="30"/>
    <x v="0"/>
    <n v="1.25"/>
    <x v="1"/>
  </r>
  <r>
    <x v="46"/>
    <x v="45"/>
    <x v="0"/>
    <x v="9"/>
    <x v="32"/>
    <x v="16"/>
    <x v="0"/>
    <n v="1.1428571428571428"/>
    <x v="1"/>
  </r>
  <r>
    <x v="47"/>
    <x v="46"/>
    <x v="0"/>
    <x v="8"/>
    <x v="6"/>
    <x v="14"/>
    <x v="0"/>
    <n v="1.25"/>
    <x v="1"/>
  </r>
  <r>
    <x v="48"/>
    <x v="47"/>
    <x v="0"/>
    <x v="1"/>
    <x v="33"/>
    <x v="31"/>
    <x v="4"/>
    <n v="1.1666666666666667"/>
    <x v="2"/>
  </r>
  <r>
    <x v="49"/>
    <x v="48"/>
    <x v="0"/>
    <x v="10"/>
    <x v="21"/>
    <x v="25"/>
    <x v="0"/>
    <n v="1.625"/>
    <x v="1"/>
  </r>
  <r>
    <x v="50"/>
    <x v="49"/>
    <x v="3"/>
    <x v="2"/>
    <x v="34"/>
    <x v="16"/>
    <x v="0"/>
    <n v="1"/>
    <x v="1"/>
  </r>
  <r>
    <x v="51"/>
    <x v="50"/>
    <x v="0"/>
    <x v="10"/>
    <x v="11"/>
    <x v="12"/>
    <x v="0"/>
    <n v="1.625"/>
    <x v="1"/>
  </r>
  <r>
    <x v="52"/>
    <x v="51"/>
    <x v="0"/>
    <x v="1"/>
    <x v="13"/>
    <x v="32"/>
    <x v="5"/>
    <n v="1.75"/>
    <x v="2"/>
  </r>
  <r>
    <x v="53"/>
    <x v="52"/>
    <x v="2"/>
    <x v="1"/>
    <x v="35"/>
    <x v="0"/>
    <x v="0"/>
    <n v="0.875"/>
    <x v="1"/>
  </r>
  <r>
    <x v="54"/>
    <x v="53"/>
    <x v="0"/>
    <x v="5"/>
    <x v="36"/>
    <x v="30"/>
    <x v="0"/>
    <n v="1.7142857142857142"/>
    <x v="1"/>
  </r>
  <r>
    <x v="55"/>
    <x v="54"/>
    <x v="0"/>
    <x v="12"/>
    <x v="21"/>
    <x v="33"/>
    <x v="3"/>
    <n v="0.7142857142857143"/>
    <x v="2"/>
  </r>
  <r>
    <x v="56"/>
    <x v="55"/>
    <x v="0"/>
    <x v="8"/>
    <x v="37"/>
    <x v="12"/>
    <x v="0"/>
    <n v="1.4285714285714286"/>
    <x v="1"/>
  </r>
  <r>
    <x v="57"/>
    <x v="56"/>
    <x v="0"/>
    <x v="4"/>
    <x v="38"/>
    <x v="34"/>
    <x v="0"/>
    <n v="1.375"/>
    <x v="1"/>
  </r>
  <r>
    <x v="58"/>
    <x v="57"/>
    <x v="0"/>
    <x v="3"/>
    <x v="39"/>
    <x v="35"/>
    <x v="3"/>
    <n v="1.2857142857142858"/>
    <x v="1"/>
  </r>
  <r>
    <x v="59"/>
    <x v="58"/>
    <x v="0"/>
    <x v="3"/>
    <x v="40"/>
    <x v="36"/>
    <x v="4"/>
    <n v="1.5"/>
    <x v="2"/>
  </r>
  <r>
    <x v="60"/>
    <x v="59"/>
    <x v="0"/>
    <x v="10"/>
    <x v="41"/>
    <x v="28"/>
    <x v="0"/>
    <n v="1.8571428571428572"/>
    <x v="1"/>
  </r>
  <r>
    <x v="61"/>
    <x v="60"/>
    <x v="0"/>
    <x v="1"/>
    <x v="42"/>
    <x v="28"/>
    <x v="0"/>
    <n v="0.875"/>
    <x v="1"/>
  </r>
  <r>
    <x v="62"/>
    <x v="61"/>
    <x v="0"/>
    <x v="4"/>
    <x v="5"/>
    <x v="37"/>
    <x v="3"/>
    <n v="1.5714285714285714"/>
    <x v="2"/>
  </r>
  <r>
    <x v="63"/>
    <x v="62"/>
    <x v="0"/>
    <x v="11"/>
    <x v="43"/>
    <x v="8"/>
    <x v="0"/>
    <n v="1.875"/>
    <x v="1"/>
  </r>
  <r>
    <x v="64"/>
    <x v="63"/>
    <x v="0"/>
    <x v="8"/>
    <x v="0"/>
    <x v="38"/>
    <x v="0"/>
    <n v="1.25"/>
    <x v="1"/>
  </r>
  <r>
    <x v="65"/>
    <x v="64"/>
    <x v="0"/>
    <x v="10"/>
    <x v="31"/>
    <x v="8"/>
    <x v="0"/>
    <n v="1.625"/>
    <x v="1"/>
  </r>
  <r>
    <x v="66"/>
    <x v="65"/>
    <x v="0"/>
    <x v="3"/>
    <x v="44"/>
    <x v="6"/>
    <x v="0"/>
    <n v="1.2857142857142858"/>
    <x v="1"/>
  </r>
  <r>
    <x v="67"/>
    <x v="66"/>
    <x v="0"/>
    <x v="3"/>
    <x v="8"/>
    <x v="39"/>
    <x v="0"/>
    <n v="1.125"/>
    <x v="1"/>
  </r>
  <r>
    <x v="68"/>
    <x v="67"/>
    <x v="0"/>
    <x v="3"/>
    <x v="4"/>
    <x v="34"/>
    <x v="0"/>
    <n v="1.125"/>
    <x v="1"/>
  </r>
  <r>
    <x v="69"/>
    <x v="68"/>
    <x v="0"/>
    <x v="8"/>
    <x v="45"/>
    <x v="34"/>
    <x v="0"/>
    <n v="1.4285714285714286"/>
    <x v="1"/>
  </r>
  <r>
    <x v="70"/>
    <x v="69"/>
    <x v="1"/>
    <x v="9"/>
    <x v="32"/>
    <x v="40"/>
    <x v="0"/>
    <n v="1.1428571428571428"/>
    <x v="1"/>
  </r>
  <r>
    <x v="71"/>
    <x v="70"/>
    <x v="0"/>
    <x v="3"/>
    <x v="40"/>
    <x v="8"/>
    <x v="0"/>
    <n v="1.125"/>
    <x v="1"/>
  </r>
  <r>
    <x v="72"/>
    <x v="59"/>
    <x v="0"/>
    <x v="9"/>
    <x v="46"/>
    <x v="41"/>
    <x v="3"/>
    <n v="1.1428571428571428"/>
    <x v="2"/>
  </r>
  <r>
    <x v="73"/>
    <x v="71"/>
    <x v="0"/>
    <x v="9"/>
    <x v="47"/>
    <x v="8"/>
    <x v="0"/>
    <n v="1.1428571428571428"/>
    <x v="1"/>
  </r>
  <r>
    <x v="74"/>
    <x v="72"/>
    <x v="1"/>
    <x v="3"/>
    <x v="48"/>
    <x v="42"/>
    <x v="4"/>
    <n v="1.5"/>
    <x v="2"/>
  </r>
  <r>
    <x v="75"/>
    <x v="73"/>
    <x v="0"/>
    <x v="2"/>
    <x v="13"/>
    <x v="43"/>
    <x v="1"/>
    <n v="1.2"/>
    <x v="2"/>
  </r>
  <r>
    <x v="76"/>
    <x v="74"/>
    <x v="0"/>
    <x v="9"/>
    <x v="15"/>
    <x v="44"/>
    <x v="2"/>
    <n v="1"/>
    <x v="1"/>
  </r>
  <r>
    <x v="77"/>
    <x v="75"/>
    <x v="0"/>
    <x v="3"/>
    <x v="27"/>
    <x v="27"/>
    <x v="2"/>
    <n v="1"/>
    <x v="1"/>
  </r>
  <r>
    <x v="78"/>
    <x v="76"/>
    <x v="0"/>
    <x v="3"/>
    <x v="17"/>
    <x v="0"/>
    <x v="0"/>
    <n v="1.125"/>
    <x v="1"/>
  </r>
  <r>
    <x v="79"/>
    <x v="77"/>
    <x v="0"/>
    <x v="9"/>
    <x v="35"/>
    <x v="45"/>
    <x v="3"/>
    <n v="1.1428571428571428"/>
    <x v="1"/>
  </r>
  <r>
    <x v="80"/>
    <x v="78"/>
    <x v="1"/>
    <x v="1"/>
    <x v="39"/>
    <x v="27"/>
    <x v="2"/>
    <n v="0.77777777777777779"/>
    <x v="1"/>
  </r>
  <r>
    <x v="81"/>
    <x v="79"/>
    <x v="0"/>
    <x v="5"/>
    <x v="9"/>
    <x v="46"/>
    <x v="3"/>
    <n v="1.7142857142857142"/>
    <x v="2"/>
  </r>
  <r>
    <x v="82"/>
    <x v="80"/>
    <x v="0"/>
    <x v="8"/>
    <x v="49"/>
    <x v="27"/>
    <x v="2"/>
    <n v="1.25"/>
    <x v="1"/>
  </r>
  <r>
    <x v="83"/>
    <x v="81"/>
    <x v="0"/>
    <x v="8"/>
    <x v="8"/>
    <x v="20"/>
    <x v="3"/>
    <n v="1.4285714285714286"/>
    <x v="1"/>
  </r>
  <r>
    <x v="84"/>
    <x v="82"/>
    <x v="0"/>
    <x v="8"/>
    <x v="31"/>
    <x v="34"/>
    <x v="0"/>
    <n v="1.25"/>
    <x v="1"/>
  </r>
  <r>
    <x v="85"/>
    <x v="83"/>
    <x v="0"/>
    <x v="8"/>
    <x v="42"/>
    <x v="47"/>
    <x v="0"/>
    <n v="1.25"/>
    <x v="1"/>
  </r>
  <r>
    <x v="86"/>
    <x v="84"/>
    <x v="0"/>
    <x v="3"/>
    <x v="50"/>
    <x v="48"/>
    <x v="3"/>
    <n v="1.5"/>
    <x v="1"/>
  </r>
  <r>
    <x v="87"/>
    <x v="85"/>
    <x v="0"/>
    <x v="0"/>
    <x v="14"/>
    <x v="49"/>
    <x v="0"/>
    <n v="2.125"/>
    <x v="0"/>
  </r>
  <r>
    <x v="88"/>
    <x v="86"/>
    <x v="0"/>
    <x v="5"/>
    <x v="5"/>
    <x v="14"/>
    <x v="0"/>
    <n v="1.5"/>
    <x v="1"/>
  </r>
  <r>
    <x v="89"/>
    <x v="87"/>
    <x v="2"/>
    <x v="14"/>
    <x v="13"/>
    <x v="41"/>
    <x v="3"/>
    <n v="0.5714285714285714"/>
    <x v="2"/>
  </r>
  <r>
    <x v="90"/>
    <x v="88"/>
    <x v="0"/>
    <x v="1"/>
    <x v="30"/>
    <x v="14"/>
    <x v="0"/>
    <n v="1"/>
    <x v="1"/>
  </r>
  <r>
    <x v="91"/>
    <x v="89"/>
    <x v="2"/>
    <x v="14"/>
    <x v="51"/>
    <x v="50"/>
    <x v="5"/>
    <n v="4"/>
    <x v="0"/>
  </r>
  <r>
    <x v="92"/>
    <x v="90"/>
    <x v="0"/>
    <x v="5"/>
    <x v="40"/>
    <x v="5"/>
    <x v="2"/>
    <n v="1.3333333333333333"/>
    <x v="1"/>
  </r>
  <r>
    <x v="93"/>
    <x v="91"/>
    <x v="0"/>
    <x v="15"/>
    <x v="2"/>
    <x v="5"/>
    <x v="2"/>
    <n v="2.1111111111111112"/>
    <x v="0"/>
  </r>
  <r>
    <x v="94"/>
    <x v="92"/>
    <x v="0"/>
    <x v="9"/>
    <x v="33"/>
    <x v="34"/>
    <x v="0"/>
    <n v="1"/>
    <x v="1"/>
  </r>
  <r>
    <x v="95"/>
    <x v="93"/>
    <x v="0"/>
    <x v="8"/>
    <x v="39"/>
    <x v="8"/>
    <x v="0"/>
    <n v="1.25"/>
    <x v="1"/>
  </r>
  <r>
    <x v="96"/>
    <x v="94"/>
    <x v="0"/>
    <x v="8"/>
    <x v="28"/>
    <x v="4"/>
    <x v="0"/>
    <n v="1.25"/>
    <x v="1"/>
  </r>
  <r>
    <x v="97"/>
    <x v="95"/>
    <x v="0"/>
    <x v="1"/>
    <x v="52"/>
    <x v="30"/>
    <x v="0"/>
    <n v="1.1666666666666667"/>
    <x v="1"/>
  </r>
  <r>
    <x v="98"/>
    <x v="96"/>
    <x v="0"/>
    <x v="5"/>
    <x v="6"/>
    <x v="0"/>
    <x v="0"/>
    <n v="1.5"/>
    <x v="1"/>
  </r>
  <r>
    <x v="99"/>
    <x v="80"/>
    <x v="0"/>
    <x v="8"/>
    <x v="2"/>
    <x v="11"/>
    <x v="0"/>
    <n v="1.2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9A3E60-1892-4459-AFB1-910CA19DC916}" name="PivotTable1" cacheId="0" applyNumberFormats="0" applyBorderFormats="0" applyFontFormats="0" applyPatternFormats="0" applyAlignmentFormats="0" applyWidthHeightFormats="1" dataCaption="Nilai" updatedVersion="8" minRefreshableVersion="5" useAutoFormatting="1" itemPrintTitles="1" createdVersion="8" indent="0" outline="1" outlineData="1" multipleFieldFilters="0" chartFormat="8" rowHeaderCaption="Kelompok">
  <location ref="A3:B8" firstHeaderRow="1" firstDataRow="1" firstDataCol="1"/>
  <pivotFields count="13">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66" showAll="0">
      <items count="98">
        <item x="49"/>
        <item x="2"/>
        <item x="21"/>
        <item x="78"/>
        <item x="69"/>
        <item x="72"/>
        <item x="89"/>
        <item x="14"/>
        <item x="52"/>
        <item x="87"/>
        <item x="36"/>
        <item x="22"/>
        <item x="39"/>
        <item x="13"/>
        <item x="28"/>
        <item x="27"/>
        <item x="42"/>
        <item x="70"/>
        <item x="77"/>
        <item x="41"/>
        <item x="54"/>
        <item x="47"/>
        <item x="5"/>
        <item x="64"/>
        <item x="38"/>
        <item x="71"/>
        <item x="60"/>
        <item x="3"/>
        <item x="76"/>
        <item x="53"/>
        <item x="88"/>
        <item x="17"/>
        <item x="96"/>
        <item x="75"/>
        <item x="95"/>
        <item x="68"/>
        <item x="12"/>
        <item x="59"/>
        <item x="7"/>
        <item x="84"/>
        <item x="51"/>
        <item x="26"/>
        <item x="16"/>
        <item x="45"/>
        <item x="15"/>
        <item x="58"/>
        <item x="9"/>
        <item x="19"/>
        <item x="73"/>
        <item x="66"/>
        <item x="18"/>
        <item x="55"/>
        <item x="33"/>
        <item x="93"/>
        <item x="31"/>
        <item x="92"/>
        <item x="24"/>
        <item x="25"/>
        <item x="44"/>
        <item x="67"/>
        <item x="90"/>
        <item x="48"/>
        <item x="80"/>
        <item x="29"/>
        <item x="74"/>
        <item x="1"/>
        <item x="81"/>
        <item x="79"/>
        <item x="30"/>
        <item x="0"/>
        <item x="46"/>
        <item x="61"/>
        <item x="23"/>
        <item x="4"/>
        <item x="83"/>
        <item x="57"/>
        <item x="35"/>
        <item x="63"/>
        <item x="82"/>
        <item x="50"/>
        <item x="94"/>
        <item x="37"/>
        <item x="56"/>
        <item x="11"/>
        <item x="65"/>
        <item x="20"/>
        <item x="10"/>
        <item x="34"/>
        <item x="86"/>
        <item x="40"/>
        <item x="43"/>
        <item x="91"/>
        <item x="85"/>
        <item x="32"/>
        <item x="8"/>
        <item x="6"/>
        <item x="62"/>
        <item t="default"/>
      </items>
    </pivotField>
    <pivotField axis="axisRow" showAll="0">
      <items count="5">
        <item x="3"/>
        <item x="0"/>
        <item x="2"/>
        <item x="1"/>
        <item t="default"/>
      </items>
    </pivotField>
    <pivotField showAll="0">
      <items count="17">
        <item x="6"/>
        <item x="14"/>
        <item x="12"/>
        <item x="2"/>
        <item x="1"/>
        <item x="9"/>
        <item x="3"/>
        <item x="8"/>
        <item x="4"/>
        <item x="5"/>
        <item x="10"/>
        <item x="7"/>
        <item x="11"/>
        <item x="13"/>
        <item x="0"/>
        <item x="15"/>
        <item t="default"/>
      </items>
    </pivotField>
    <pivotField numFmtId="165" showAll="0">
      <items count="54">
        <item x="2"/>
        <item x="31"/>
        <item x="13"/>
        <item x="8"/>
        <item x="9"/>
        <item x="43"/>
        <item x="11"/>
        <item x="0"/>
        <item x="42"/>
        <item x="21"/>
        <item x="28"/>
        <item x="40"/>
        <item x="38"/>
        <item x="27"/>
        <item x="33"/>
        <item x="6"/>
        <item x="19"/>
        <item x="39"/>
        <item x="35"/>
        <item x="17"/>
        <item x="12"/>
        <item x="14"/>
        <item x="4"/>
        <item x="5"/>
        <item x="46"/>
        <item x="48"/>
        <item x="3"/>
        <item x="16"/>
        <item x="44"/>
        <item x="24"/>
        <item x="49"/>
        <item x="22"/>
        <item x="36"/>
        <item x="30"/>
        <item x="47"/>
        <item x="45"/>
        <item x="10"/>
        <item x="50"/>
        <item x="15"/>
        <item x="37"/>
        <item x="32"/>
        <item x="41"/>
        <item x="1"/>
        <item x="25"/>
        <item x="26"/>
        <item x="20"/>
        <item x="34"/>
        <item x="29"/>
        <item x="52"/>
        <item x="18"/>
        <item x="51"/>
        <item x="23"/>
        <item x="7"/>
        <item t="default"/>
      </items>
    </pivotField>
    <pivotField numFmtId="165" showAll="0">
      <items count="52">
        <item x="32"/>
        <item x="50"/>
        <item x="2"/>
        <item x="22"/>
        <item x="26"/>
        <item x="43"/>
        <item x="36"/>
        <item x="10"/>
        <item x="15"/>
        <item x="31"/>
        <item x="42"/>
        <item x="33"/>
        <item x="41"/>
        <item x="46"/>
        <item x="37"/>
        <item x="17"/>
        <item x="20"/>
        <item x="19"/>
        <item x="21"/>
        <item x="23"/>
        <item x="48"/>
        <item x="35"/>
        <item x="45"/>
        <item x="18"/>
        <item x="9"/>
        <item x="1"/>
        <item x="24"/>
        <item x="7"/>
        <item x="38"/>
        <item x="49"/>
        <item x="14"/>
        <item x="4"/>
        <item x="28"/>
        <item x="29"/>
        <item x="25"/>
        <item x="11"/>
        <item x="3"/>
        <item x="47"/>
        <item x="40"/>
        <item x="16"/>
        <item x="0"/>
        <item x="12"/>
        <item x="30"/>
        <item x="39"/>
        <item x="34"/>
        <item x="6"/>
        <item x="13"/>
        <item x="8"/>
        <item x="27"/>
        <item x="5"/>
        <item x="44"/>
        <item t="default"/>
      </items>
    </pivotField>
    <pivotField showAll="0"/>
    <pivotField showAll="0"/>
    <pivotField showAll="0">
      <items count="4">
        <item x="1"/>
        <item x="0"/>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5">
    <i>
      <x/>
    </i>
    <i>
      <x v="1"/>
    </i>
    <i>
      <x v="2"/>
    </i>
    <i>
      <x v="3"/>
    </i>
    <i t="grand">
      <x/>
    </i>
  </rowItems>
  <colItems count="1">
    <i/>
  </colItems>
  <dataFields count="1">
    <dataField name="Hitung dari Nama_Donatur" fld="0" subtotal="count" baseField="0" baseItem="0"/>
  </dataFields>
  <chartFormats count="10">
    <chartFormat chart="3" format="1"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2" count="1" selected="0">
            <x v="0"/>
          </reference>
        </references>
      </pivotArea>
    </chartFormat>
    <chartFormat chart="7" format="9">
      <pivotArea type="data" outline="0" fieldPosition="0">
        <references count="2">
          <reference field="4294967294" count="1" selected="0">
            <x v="0"/>
          </reference>
          <reference field="2" count="1" selected="0">
            <x v="1"/>
          </reference>
        </references>
      </pivotArea>
    </chartFormat>
    <chartFormat chart="7" format="10">
      <pivotArea type="data" outline="0" fieldPosition="0">
        <references count="2">
          <reference field="4294967294" count="1" selected="0">
            <x v="0"/>
          </reference>
          <reference field="2" count="1" selected="0">
            <x v="2"/>
          </reference>
        </references>
      </pivotArea>
    </chartFormat>
    <chartFormat chart="7" format="11">
      <pivotArea type="data" outline="0" fieldPosition="0">
        <references count="2">
          <reference field="4294967294" count="1" selected="0">
            <x v="0"/>
          </reference>
          <reference field="2" count="1" selected="0">
            <x v="3"/>
          </reference>
        </references>
      </pivotArea>
    </chartFormat>
    <chartFormat chart="3" format="2">
      <pivotArea type="data" outline="0" fieldPosition="0">
        <references count="2">
          <reference field="4294967294" count="1" selected="0">
            <x v="0"/>
          </reference>
          <reference field="2" count="1" selected="0">
            <x v="0"/>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 chart="3" format="4">
      <pivotArea type="data" outline="0" fieldPosition="0">
        <references count="2">
          <reference field="4294967294" count="1" selected="0">
            <x v="0"/>
          </reference>
          <reference field="2" count="1" selected="0">
            <x v="2"/>
          </reference>
        </references>
      </pivotArea>
    </chartFormat>
    <chartFormat chart="3" format="5">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02EA4F-A773-4EAB-A9A3-F28583ED8DC9}" name="PivotTable2" cacheId="0" applyNumberFormats="0" applyBorderFormats="0" applyFontFormats="0" applyPatternFormats="0" applyAlignmentFormats="0" applyWidthHeightFormats="1" dataCaption="Nilai" updatedVersion="8" minRefreshableVersion="5" useAutoFormatting="1" itemPrintTitles="1" createdVersion="8" indent="0" outline="1" outlineData="1" multipleFieldFilters="0" chartFormat="7">
  <location ref="A3:B7" firstHeaderRow="1" firstDataRow="1" firstDataCol="1"/>
  <pivotFields count="13">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66" showAll="0">
      <items count="98">
        <item x="49"/>
        <item x="2"/>
        <item x="21"/>
        <item x="78"/>
        <item x="69"/>
        <item x="72"/>
        <item x="89"/>
        <item x="14"/>
        <item x="52"/>
        <item x="87"/>
        <item x="36"/>
        <item x="22"/>
        <item x="39"/>
        <item x="13"/>
        <item x="28"/>
        <item x="27"/>
        <item x="42"/>
        <item x="70"/>
        <item x="77"/>
        <item x="41"/>
        <item x="54"/>
        <item x="47"/>
        <item x="5"/>
        <item x="64"/>
        <item x="38"/>
        <item x="71"/>
        <item x="60"/>
        <item x="3"/>
        <item x="76"/>
        <item x="53"/>
        <item x="88"/>
        <item x="17"/>
        <item x="96"/>
        <item x="75"/>
        <item x="95"/>
        <item x="68"/>
        <item x="12"/>
        <item x="59"/>
        <item x="7"/>
        <item x="84"/>
        <item x="51"/>
        <item x="26"/>
        <item x="16"/>
        <item x="45"/>
        <item x="15"/>
        <item x="58"/>
        <item x="9"/>
        <item x="19"/>
        <item x="73"/>
        <item x="66"/>
        <item x="18"/>
        <item x="55"/>
        <item x="33"/>
        <item x="93"/>
        <item x="31"/>
        <item x="92"/>
        <item x="24"/>
        <item x="25"/>
        <item x="44"/>
        <item x="67"/>
        <item x="90"/>
        <item x="48"/>
        <item x="80"/>
        <item x="29"/>
        <item x="74"/>
        <item x="1"/>
        <item x="81"/>
        <item x="79"/>
        <item x="30"/>
        <item x="0"/>
        <item x="46"/>
        <item x="61"/>
        <item x="23"/>
        <item x="4"/>
        <item x="83"/>
        <item x="57"/>
        <item x="35"/>
        <item x="63"/>
        <item x="82"/>
        <item x="50"/>
        <item x="94"/>
        <item x="37"/>
        <item x="56"/>
        <item x="11"/>
        <item x="65"/>
        <item x="20"/>
        <item x="10"/>
        <item x="34"/>
        <item x="86"/>
        <item x="40"/>
        <item x="43"/>
        <item x="91"/>
        <item x="85"/>
        <item x="32"/>
        <item x="8"/>
        <item x="6"/>
        <item x="62"/>
        <item t="default"/>
      </items>
    </pivotField>
    <pivotField showAll="0">
      <items count="5">
        <item x="3"/>
        <item x="0"/>
        <item x="2"/>
        <item x="1"/>
        <item t="default"/>
      </items>
    </pivotField>
    <pivotField showAll="0">
      <items count="17">
        <item x="6"/>
        <item x="14"/>
        <item x="12"/>
        <item x="2"/>
        <item x="1"/>
        <item x="9"/>
        <item x="3"/>
        <item x="8"/>
        <item x="4"/>
        <item x="5"/>
        <item x="10"/>
        <item x="7"/>
        <item x="11"/>
        <item x="13"/>
        <item x="0"/>
        <item x="15"/>
        <item t="default"/>
      </items>
    </pivotField>
    <pivotField numFmtId="165" showAll="0">
      <items count="54">
        <item x="2"/>
        <item x="31"/>
        <item x="13"/>
        <item x="8"/>
        <item x="9"/>
        <item x="43"/>
        <item x="11"/>
        <item x="0"/>
        <item x="42"/>
        <item x="21"/>
        <item x="28"/>
        <item x="40"/>
        <item x="38"/>
        <item x="27"/>
        <item x="33"/>
        <item x="6"/>
        <item x="19"/>
        <item x="39"/>
        <item x="35"/>
        <item x="17"/>
        <item x="12"/>
        <item x="14"/>
        <item x="4"/>
        <item x="5"/>
        <item x="46"/>
        <item x="48"/>
        <item x="3"/>
        <item x="16"/>
        <item x="44"/>
        <item x="24"/>
        <item x="49"/>
        <item x="22"/>
        <item x="36"/>
        <item x="30"/>
        <item x="47"/>
        <item x="45"/>
        <item x="10"/>
        <item x="50"/>
        <item x="15"/>
        <item x="37"/>
        <item x="32"/>
        <item x="41"/>
        <item x="1"/>
        <item x="25"/>
        <item x="26"/>
        <item x="20"/>
        <item x="34"/>
        <item x="29"/>
        <item x="52"/>
        <item x="18"/>
        <item x="51"/>
        <item x="23"/>
        <item x="7"/>
        <item t="default"/>
      </items>
    </pivotField>
    <pivotField numFmtId="165" showAll="0">
      <items count="52">
        <item x="32"/>
        <item x="50"/>
        <item x="2"/>
        <item x="22"/>
        <item x="26"/>
        <item x="43"/>
        <item x="36"/>
        <item x="10"/>
        <item x="15"/>
        <item x="31"/>
        <item x="42"/>
        <item x="33"/>
        <item x="41"/>
        <item x="46"/>
        <item x="37"/>
        <item x="17"/>
        <item x="20"/>
        <item x="19"/>
        <item x="21"/>
        <item x="23"/>
        <item x="48"/>
        <item x="35"/>
        <item x="45"/>
        <item x="18"/>
        <item x="9"/>
        <item x="1"/>
        <item x="24"/>
        <item x="7"/>
        <item x="38"/>
        <item x="49"/>
        <item x="14"/>
        <item x="4"/>
        <item x="28"/>
        <item x="29"/>
        <item x="25"/>
        <item x="11"/>
        <item x="3"/>
        <item x="47"/>
        <item x="40"/>
        <item x="16"/>
        <item x="0"/>
        <item x="12"/>
        <item x="30"/>
        <item x="39"/>
        <item x="34"/>
        <item x="6"/>
        <item x="13"/>
        <item x="8"/>
        <item x="27"/>
        <item x="5"/>
        <item x="44"/>
        <item t="default"/>
      </items>
    </pivotField>
    <pivotField showAll="0"/>
    <pivotField showAll="0"/>
    <pivotField axis="axisRow" showAll="0">
      <items count="4">
        <item x="1"/>
        <item x="0"/>
        <item x="2"/>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4">
    <i>
      <x/>
    </i>
    <i>
      <x v="1"/>
    </i>
    <i>
      <x v="2"/>
    </i>
    <i t="grand">
      <x/>
    </i>
  </rowItems>
  <colItems count="1">
    <i/>
  </colItems>
  <dataFields count="1">
    <dataField name="Hitung dari Nama_Donatur" fld="0" subtotal="count" baseField="0" baseItem="0"/>
  </dataFields>
  <chartFormats count="16">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8" count="1" selected="0">
            <x v="0"/>
          </reference>
        </references>
      </pivotArea>
    </chartFormat>
    <chartFormat chart="4" format="3">
      <pivotArea type="data" outline="0" fieldPosition="0">
        <references count="2">
          <reference field="4294967294" count="1" selected="0">
            <x v="0"/>
          </reference>
          <reference field="8" count="1" selected="0">
            <x v="1"/>
          </reference>
        </references>
      </pivotArea>
    </chartFormat>
    <chartFormat chart="4" format="4">
      <pivotArea type="data" outline="0" fieldPosition="0">
        <references count="2">
          <reference field="4294967294" count="1" selected="0">
            <x v="0"/>
          </reference>
          <reference field="8"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8" count="1" selected="0">
            <x v="0"/>
          </reference>
        </references>
      </pivotArea>
    </chartFormat>
    <chartFormat chart="5" format="7">
      <pivotArea type="data" outline="0" fieldPosition="0">
        <references count="2">
          <reference field="4294967294" count="1" selected="0">
            <x v="0"/>
          </reference>
          <reference field="8" count="1" selected="0">
            <x v="1"/>
          </reference>
        </references>
      </pivotArea>
    </chartFormat>
    <chartFormat chart="5" format="8">
      <pivotArea type="data" outline="0" fieldPosition="0">
        <references count="2">
          <reference field="4294967294" count="1" selected="0">
            <x v="0"/>
          </reference>
          <reference field="8" count="1" selected="0">
            <x v="2"/>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8" count="1" selected="0">
            <x v="0"/>
          </reference>
        </references>
      </pivotArea>
    </chartFormat>
    <chartFormat chart="6" format="7">
      <pivotArea type="data" outline="0" fieldPosition="0">
        <references count="2">
          <reference field="4294967294" count="1" selected="0">
            <x v="0"/>
          </reference>
          <reference field="8" count="1" selected="0">
            <x v="1"/>
          </reference>
        </references>
      </pivotArea>
    </chartFormat>
    <chartFormat chart="6" format="8">
      <pivotArea type="data" outline="0" fieldPosition="0">
        <references count="2">
          <reference field="4294967294" count="1" selected="0">
            <x v="0"/>
          </reference>
          <reference field="8" count="1" selected="0">
            <x v="2"/>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Nama_Donatur1" xr10:uid="{26B92088-EA5A-4E01-A211-406C2C213B5C}" sourceName="Nama_Donatur">
  <pivotTables>
    <pivotTable tabId="20" name="PivotTable1"/>
    <pivotTable tabId="21" name="PivotTable2"/>
  </pivotTables>
  <data>
    <tabular pivotCacheId="1176991351">
      <items count="1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Jumlah_dari_Nominal1" xr10:uid="{AF2F753E-42E1-4B79-8BB6-14A7680A61E7}" sourceName="Jumlah dari Nominal">
  <pivotTables>
    <pivotTable tabId="20" name="PivotTable1"/>
    <pivotTable tabId="21" name="PivotTable2"/>
  </pivotTables>
  <data>
    <tabular pivotCacheId="1176991351">
      <items count="97">
        <i x="49" s="1"/>
        <i x="2" s="1"/>
        <i x="21" s="1"/>
        <i x="78" s="1"/>
        <i x="69" s="1"/>
        <i x="72" s="1"/>
        <i x="89" s="1"/>
        <i x="14" s="1"/>
        <i x="52" s="1"/>
        <i x="87" s="1"/>
        <i x="36" s="1"/>
        <i x="22" s="1"/>
        <i x="39" s="1"/>
        <i x="13" s="1"/>
        <i x="28" s="1"/>
        <i x="27" s="1"/>
        <i x="42" s="1"/>
        <i x="70" s="1"/>
        <i x="77" s="1"/>
        <i x="41" s="1"/>
        <i x="54" s="1"/>
        <i x="47" s="1"/>
        <i x="5" s="1"/>
        <i x="64" s="1"/>
        <i x="38" s="1"/>
        <i x="71" s="1"/>
        <i x="60" s="1"/>
        <i x="3" s="1"/>
        <i x="76" s="1"/>
        <i x="53" s="1"/>
        <i x="88" s="1"/>
        <i x="17" s="1"/>
        <i x="96" s="1"/>
        <i x="75" s="1"/>
        <i x="95" s="1"/>
        <i x="68" s="1"/>
        <i x="12" s="1"/>
        <i x="59" s="1"/>
        <i x="7" s="1"/>
        <i x="84" s="1"/>
        <i x="51" s="1"/>
        <i x="26" s="1"/>
        <i x="16" s="1"/>
        <i x="45" s="1"/>
        <i x="15" s="1"/>
        <i x="58" s="1"/>
        <i x="9" s="1"/>
        <i x="19" s="1"/>
        <i x="73" s="1"/>
        <i x="66" s="1"/>
        <i x="18" s="1"/>
        <i x="55" s="1"/>
        <i x="33" s="1"/>
        <i x="93" s="1"/>
        <i x="31" s="1"/>
        <i x="92" s="1"/>
        <i x="24" s="1"/>
        <i x="25" s="1"/>
        <i x="44" s="1"/>
        <i x="67" s="1"/>
        <i x="90" s="1"/>
        <i x="48" s="1"/>
        <i x="80" s="1"/>
        <i x="29" s="1"/>
        <i x="74" s="1"/>
        <i x="1" s="1"/>
        <i x="81" s="1"/>
        <i x="79" s="1"/>
        <i x="30" s="1"/>
        <i x="0" s="1"/>
        <i x="46" s="1"/>
        <i x="61" s="1"/>
        <i x="23" s="1"/>
        <i x="4" s="1"/>
        <i x="83" s="1"/>
        <i x="57" s="1"/>
        <i x="35" s="1"/>
        <i x="63" s="1"/>
        <i x="82" s="1"/>
        <i x="50" s="1"/>
        <i x="94" s="1"/>
        <i x="37" s="1"/>
        <i x="56" s="1"/>
        <i x="11" s="1"/>
        <i x="65" s="1"/>
        <i x="20" s="1"/>
        <i x="10" s="1"/>
        <i x="34" s="1"/>
        <i x="86" s="1"/>
        <i x="40" s="1"/>
        <i x="43" s="1"/>
        <i x="91" s="1"/>
        <i x="85" s="1"/>
        <i x="32" s="1"/>
        <i x="8" s="1"/>
        <i x="6" s="1"/>
        <i x="6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Kelompok1" xr10:uid="{4B01A764-2B44-4C2B-AFD0-C37144B6EC6A}" sourceName="Kelompok">
  <pivotTables>
    <pivotTable tabId="20" name="PivotTable1"/>
    <pivotTable tabId="21" name="PivotTable2"/>
  </pivotTables>
  <data>
    <tabular pivotCacheId="1176991351">
      <items count="4">
        <i x="3" s="1"/>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Frekuensi" xr10:uid="{3B82F0DE-881B-49AA-90E9-06871A47FF66}" sourceName="Frekuensi">
  <pivotTables>
    <pivotTable tabId="20" name="PivotTable1"/>
    <pivotTable tabId="21" name="PivotTable2"/>
  </pivotTables>
  <data>
    <tabular pivotCacheId="1176991351">
      <items count="16">
        <i x="6" s="1"/>
        <i x="14" s="1"/>
        <i x="12" s="1"/>
        <i x="2" s="1"/>
        <i x="1" s="1"/>
        <i x="9" s="1"/>
        <i x="3" s="1"/>
        <i x="8" s="1"/>
        <i x="4" s="1"/>
        <i x="5" s="1"/>
        <i x="10" s="1"/>
        <i x="7" s="1"/>
        <i x="11" s="1"/>
        <i x="13" s="1"/>
        <i x="0" s="1"/>
        <i x="1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Status" xr10:uid="{2A9ECF4F-3B06-49E8-975F-4070B190D2B8}" sourceName="Status">
  <pivotTables>
    <pivotTable tabId="20" name="PivotTable1"/>
    <pivotTable tabId="21" name="PivotTable2"/>
  </pivotTables>
  <data>
    <tabular pivotCacheId="117699135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a_Donatur 1" xr10:uid="{0D96490F-1FCE-46F7-A86F-94E1A98BE8E0}" cache="Pemotong_Nama_Donatur1" caption="Nama_Donatur" rowHeight="234950"/>
  <slicer name="Jumlah dari Nominal 1" xr10:uid="{2D707B58-A907-4ABF-B8C6-DBA3F7AB5960}" cache="Pemotong_Jumlah_dari_Nominal1" caption="Jumlah dari Nominal" rowHeight="234950"/>
  <slicer name="Kelompok 1" xr10:uid="{8D7C7EC1-55AC-45D3-90AE-6F60478B8684}" cache="Pemotong_Kelompok1" caption="Kelompok" rowHeight="234950"/>
  <slicer name="Frekuensi" xr10:uid="{D0CD64BA-053A-4559-8E26-04C3C637F69F}" cache="Pemotong_Frekuensi" caption="Frekuensi" startItem="7" rowHeight="234950"/>
  <slicer name="Status" xr10:uid="{B9B44D7B-FE4E-481C-83D6-4EC198D0A11F}" cache="Pemotong_Status" caption="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B2BDAF-CB6C-42B1-91B1-1A0BCB08A413}" name="Data_Donasi" displayName="Data_Donasi" ref="A1:E1001" totalsRowShown="0" tableBorderDxfId="16">
  <autoFilter ref="A1:E1001" xr:uid="{05B2BDAF-CB6C-42B1-91B1-1A0BCB08A413}"/>
  <sortState xmlns:xlrd2="http://schemas.microsoft.com/office/spreadsheetml/2017/richdata2" ref="A2:E1001">
    <sortCondition ref="D1:D1001"/>
  </sortState>
  <tableColumns count="5">
    <tableColumn id="1" xr3:uid="{0FD74D2A-672D-4377-A9DA-0F0698B3A394}" name="Nama_Donatur" dataDxfId="15"/>
    <tableColumn id="2" xr3:uid="{808010A8-BE01-492E-9480-7192CC3170CF}" name="Email" dataDxfId="14"/>
    <tableColumn id="3" xr3:uid="{CE0C0106-25E6-4698-A19E-00A239C03F1A}" name="No_HP" dataDxfId="13"/>
    <tableColumn id="4" xr3:uid="{9EEA04E9-D594-4973-B46D-9143D18E14EF}" name="Tanggal_Donasi" dataDxfId="12"/>
    <tableColumn id="5" xr3:uid="{3053C0D1-FE6E-43FE-A3AE-C028BC5E8032}" name="Nominal" dataDxfId="11"/>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D0E1626-C22F-413B-A60F-D9FCAF47C11A}" name="Tabel4" displayName="Tabel4" ref="A1:I101" totalsRowShown="0" headerRowDxfId="10" dataDxfId="9">
  <autoFilter ref="A1:I101" xr:uid="{ED0E1626-C22F-413B-A60F-D9FCAF47C11A}"/>
  <tableColumns count="9">
    <tableColumn id="1" xr3:uid="{21B9CF3C-5037-446C-BC35-82C2793CB850}" name="Nama_Donatur" dataDxfId="8"/>
    <tableColumn id="4" xr3:uid="{BDE654DF-CF10-4BEE-896D-1C1566173A96}" name="Frekuensi" dataDxfId="7"/>
    <tableColumn id="5" xr3:uid="{37229F74-5939-4291-AD44-79AAB59E203F}" name="Tanggal Awal" dataDxfId="6"/>
    <tableColumn id="6" xr3:uid="{966962E7-7F86-4AAD-B1B0-CDF15BF26988}" name="Tanggal Akhir" dataDxfId="5"/>
    <tableColumn id="7" xr3:uid="{3AC5D127-9852-45C9-A844-890CF088A299}" name="Jarak Transaksi Terakhir sampai Hari Ini" dataDxfId="4">
      <calculatedColumnFormula>12*(YEAR(TODAY()) - YEAR(D2))+ (MONTH(TODAY()) - MONTH(D2))</calculatedColumnFormula>
    </tableColumn>
    <tableColumn id="8" xr3:uid="{E3F1DE33-B88D-4BDE-A1A1-DC786F5B1AFF}" name="Rata-Rata Jumlah Transaksi per Bulan" dataDxfId="3">
      <calculatedColumnFormula>IF((12 * (YEAR(D2) - YEAR(C2)) + (MONTH(D2) - MONTH(C2))) = 0, B2, B2 / (12 * (YEAR(D2) - YEAR(C2)) + (MONTH(D2) - MONTH(C2))))</calculatedColumnFormula>
    </tableColumn>
    <tableColumn id="9" xr3:uid="{3BCB020F-DA32-481C-AF6A-162081BD8373}" name="Status" dataDxfId="2">
      <calculatedColumnFormula array="1">IFERROR(_xlfn.IFS(B2/(MAX(1, 12*(YEAR(D2)-YEAR(C2)) + (MONTH(D2)-MONTH(C2)))) &gt;= 2, "Loyal",D2 &gt;= EDATE(TODAY(), -3), "Aktif",TRUE, "Pasif"),"Pasif")</calculatedColumnFormula>
    </tableColumn>
    <tableColumn id="10" xr3:uid="{1B461501-E397-4F29-BBD2-AA41B138BEFE}" name="Jumlah dari Nominal" dataDxfId="1"/>
    <tableColumn id="11" xr3:uid="{73F6882A-9D62-401A-AAED-395539777E58}" name="Kelompok" dataDxfId="0">
      <calculatedColumnFormula array="1">_xlfn.IFS(H2&lt;5000000, "Bronze",H2&lt;10000000, "Silver",H2&lt;20000000, "Gold", H2&gt;=20000000, "Diamond")</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anggal_Awal" xr10:uid="{C127AE99-5CC8-417C-A752-961FA3A5FDDA}" sourceName="Tanggal Awal">
  <pivotTables>
    <pivotTable tabId="20" name="PivotTable1"/>
    <pivotTable tabId="21" name="PivotTable2"/>
  </pivotTables>
  <state minimalRefreshVersion="6" lastRefreshVersion="6" pivotCacheId="1176991351" filterType="unknown">
    <bounds startDate="2025-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anggal_Akhir" xr10:uid="{F3405782-A554-4287-BEAE-7B5EBC6FA4F4}" sourceName="Tanggal Akhir">
  <pivotTables>
    <pivotTable tabId="20" name="PivotTable1"/>
    <pivotTable tabId="21" name="PivotTable2"/>
  </pivotTables>
  <state minimalRefreshVersion="6" lastRefreshVersion="6" pivotCacheId="1176991351"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anggal Awal" xr10:uid="{433BA52D-5636-4250-8CBD-908DF089C256}" cache="NativeTimeline_Tanggal_Awal" caption="Tanggal Awal" level="2" selectionLevel="2" scrollPosition="2025-05-18T00:00:00"/>
  <timeline name="Tanggal Akhir" xr10:uid="{7A6BC956-F0E9-4D16-8793-D6CD222883BC}" cache="NativeTimeline_Tanggal_Akhir" caption="Tanggal Akhir" level="2" selectionLevel="2" scrollPosition="2025-05-18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1"/>
  <sheetViews>
    <sheetView workbookViewId="0">
      <selection activeCell="F1" sqref="F1:G1001"/>
    </sheetView>
  </sheetViews>
  <sheetFormatPr defaultColWidth="8.77734375" defaultRowHeight="14.4" x14ac:dyDescent="0.3"/>
  <cols>
    <col min="1" max="1" width="25" bestFit="1" customWidth="1"/>
    <col min="2" max="2" width="27.109375" bestFit="1" customWidth="1"/>
    <col min="3" max="3" width="13.109375" bestFit="1" customWidth="1"/>
    <col min="4" max="4" width="18.77734375" bestFit="1" customWidth="1"/>
    <col min="5" max="5" width="16.44140625" style="3" bestFit="1" customWidth="1"/>
    <col min="6" max="6" width="29" bestFit="1" customWidth="1"/>
    <col min="7" max="7" width="29.88671875" bestFit="1" customWidth="1"/>
    <col min="8" max="8" width="30.44140625" bestFit="1" customWidth="1"/>
    <col min="9" max="9" width="49.5546875" bestFit="1" customWidth="1"/>
    <col min="10" max="10" width="35.6640625" bestFit="1" customWidth="1"/>
  </cols>
  <sheetData>
    <row r="1" spans="1:6" x14ac:dyDescent="0.3">
      <c r="A1" s="9" t="s">
        <v>0</v>
      </c>
      <c r="B1" s="1" t="s">
        <v>1</v>
      </c>
      <c r="C1" s="1" t="s">
        <v>2</v>
      </c>
      <c r="D1" s="12" t="s">
        <v>3</v>
      </c>
      <c r="E1" s="2" t="s">
        <v>4</v>
      </c>
    </row>
    <row r="2" spans="1:6" x14ac:dyDescent="0.3">
      <c r="A2" s="13" t="s">
        <v>14</v>
      </c>
      <c r="B2" s="4" t="s">
        <v>114</v>
      </c>
      <c r="C2" s="4" t="s">
        <v>214</v>
      </c>
      <c r="D2" s="8">
        <v>45660</v>
      </c>
      <c r="E2" s="11">
        <v>150000</v>
      </c>
    </row>
    <row r="3" spans="1:6" x14ac:dyDescent="0.3">
      <c r="A3" s="13" t="s">
        <v>13</v>
      </c>
      <c r="B3" s="4" t="s">
        <v>113</v>
      </c>
      <c r="C3" s="4" t="s">
        <v>213</v>
      </c>
      <c r="D3" s="8">
        <v>45660</v>
      </c>
      <c r="E3" s="11">
        <v>1000000</v>
      </c>
      <c r="F3" s="5"/>
    </row>
    <row r="4" spans="1:6" x14ac:dyDescent="0.3">
      <c r="A4" s="13" t="s">
        <v>34</v>
      </c>
      <c r="B4" s="4" t="s">
        <v>134</v>
      </c>
      <c r="C4" s="4" t="s">
        <v>234</v>
      </c>
      <c r="D4" s="8">
        <v>45660</v>
      </c>
      <c r="E4" s="11">
        <v>250000</v>
      </c>
    </row>
    <row r="5" spans="1:6" x14ac:dyDescent="0.3">
      <c r="A5" s="13" t="s">
        <v>54</v>
      </c>
      <c r="B5" s="4" t="s">
        <v>154</v>
      </c>
      <c r="C5" s="4" t="s">
        <v>254</v>
      </c>
      <c r="D5" s="8">
        <v>45660</v>
      </c>
      <c r="E5" s="11">
        <v>100000</v>
      </c>
    </row>
    <row r="6" spans="1:6" x14ac:dyDescent="0.3">
      <c r="A6" s="13" t="s">
        <v>51</v>
      </c>
      <c r="B6" s="4" t="s">
        <v>151</v>
      </c>
      <c r="C6" s="4" t="s">
        <v>251</v>
      </c>
      <c r="D6" s="8">
        <v>45660</v>
      </c>
      <c r="E6" s="11">
        <v>7000000</v>
      </c>
    </row>
    <row r="7" spans="1:6" x14ac:dyDescent="0.3">
      <c r="A7" s="13" t="s">
        <v>8</v>
      </c>
      <c r="B7" s="4" t="s">
        <v>108</v>
      </c>
      <c r="C7" s="4" t="s">
        <v>208</v>
      </c>
      <c r="D7" s="8">
        <v>45660</v>
      </c>
      <c r="E7" s="11">
        <v>100000</v>
      </c>
    </row>
    <row r="8" spans="1:6" x14ac:dyDescent="0.3">
      <c r="A8" s="13" t="s">
        <v>36</v>
      </c>
      <c r="B8" s="4" t="s">
        <v>136</v>
      </c>
      <c r="C8" s="4" t="s">
        <v>236</v>
      </c>
      <c r="D8" s="8">
        <v>45661</v>
      </c>
      <c r="E8" s="11">
        <v>50000</v>
      </c>
    </row>
    <row r="9" spans="1:6" x14ac:dyDescent="0.3">
      <c r="A9" s="13" t="s">
        <v>69</v>
      </c>
      <c r="B9" s="4" t="s">
        <v>169</v>
      </c>
      <c r="C9" s="4" t="s">
        <v>269</v>
      </c>
      <c r="D9" s="8">
        <v>45661</v>
      </c>
      <c r="E9" s="11">
        <v>5000000</v>
      </c>
    </row>
    <row r="10" spans="1:6" x14ac:dyDescent="0.3">
      <c r="A10" s="13" t="s">
        <v>45</v>
      </c>
      <c r="B10" s="4" t="s">
        <v>145</v>
      </c>
      <c r="C10" s="4" t="s">
        <v>245</v>
      </c>
      <c r="D10" s="8">
        <v>45661</v>
      </c>
      <c r="E10" s="11">
        <v>50000</v>
      </c>
    </row>
    <row r="11" spans="1:6" x14ac:dyDescent="0.3">
      <c r="A11" s="13" t="s">
        <v>34</v>
      </c>
      <c r="B11" s="4" t="s">
        <v>134</v>
      </c>
      <c r="C11" s="4" t="s">
        <v>234</v>
      </c>
      <c r="D11" s="8">
        <v>45661</v>
      </c>
      <c r="E11" s="11">
        <v>100000</v>
      </c>
    </row>
    <row r="12" spans="1:6" x14ac:dyDescent="0.3">
      <c r="A12" s="13" t="s">
        <v>52</v>
      </c>
      <c r="B12" s="4" t="s">
        <v>152</v>
      </c>
      <c r="C12" s="4" t="s">
        <v>252</v>
      </c>
      <c r="D12" s="8">
        <v>45662</v>
      </c>
      <c r="E12" s="11">
        <v>1000000</v>
      </c>
    </row>
    <row r="13" spans="1:6" x14ac:dyDescent="0.3">
      <c r="A13" s="13" t="s">
        <v>76</v>
      </c>
      <c r="B13" s="4" t="s">
        <v>176</v>
      </c>
      <c r="C13" s="4" t="s">
        <v>276</v>
      </c>
      <c r="D13" s="8">
        <v>45662</v>
      </c>
      <c r="E13" s="11">
        <v>250000</v>
      </c>
    </row>
    <row r="14" spans="1:6" x14ac:dyDescent="0.3">
      <c r="A14" s="13" t="s">
        <v>61</v>
      </c>
      <c r="B14" s="4" t="s">
        <v>161</v>
      </c>
      <c r="C14" s="4" t="s">
        <v>261</v>
      </c>
      <c r="D14" s="8">
        <v>45662</v>
      </c>
      <c r="E14" s="11">
        <v>3000000</v>
      </c>
    </row>
    <row r="15" spans="1:6" x14ac:dyDescent="0.3">
      <c r="A15" s="13" t="s">
        <v>31</v>
      </c>
      <c r="B15" s="4" t="s">
        <v>131</v>
      </c>
      <c r="C15" s="4" t="s">
        <v>231</v>
      </c>
      <c r="D15" s="8">
        <v>45662</v>
      </c>
      <c r="E15" s="11">
        <v>200000</v>
      </c>
    </row>
    <row r="16" spans="1:6" x14ac:dyDescent="0.3">
      <c r="A16" s="13" t="s">
        <v>41</v>
      </c>
      <c r="B16" s="4" t="s">
        <v>141</v>
      </c>
      <c r="C16" s="4" t="s">
        <v>241</v>
      </c>
      <c r="D16" s="8">
        <v>45662</v>
      </c>
      <c r="E16" s="11">
        <v>500000</v>
      </c>
    </row>
    <row r="17" spans="1:5" x14ac:dyDescent="0.3">
      <c r="A17" s="13" t="s">
        <v>35</v>
      </c>
      <c r="B17" s="4" t="s">
        <v>135</v>
      </c>
      <c r="C17" s="4" t="s">
        <v>235</v>
      </c>
      <c r="D17" s="8">
        <v>45664</v>
      </c>
      <c r="E17" s="11">
        <v>20000000</v>
      </c>
    </row>
    <row r="18" spans="1:5" x14ac:dyDescent="0.3">
      <c r="A18" s="13" t="s">
        <v>6</v>
      </c>
      <c r="B18" s="4" t="s">
        <v>106</v>
      </c>
      <c r="C18" s="4" t="s">
        <v>206</v>
      </c>
      <c r="D18" s="8">
        <v>45664</v>
      </c>
      <c r="E18" s="11">
        <v>150000</v>
      </c>
    </row>
    <row r="19" spans="1:5" x14ac:dyDescent="0.3">
      <c r="A19" s="13" t="s">
        <v>24</v>
      </c>
      <c r="B19" s="4" t="s">
        <v>124</v>
      </c>
      <c r="C19" s="4" t="s">
        <v>224</v>
      </c>
      <c r="D19" s="8">
        <v>45664</v>
      </c>
      <c r="E19" s="11">
        <v>500000</v>
      </c>
    </row>
    <row r="20" spans="1:5" x14ac:dyDescent="0.3">
      <c r="A20" s="13" t="s">
        <v>19</v>
      </c>
      <c r="B20" s="4" t="s">
        <v>119</v>
      </c>
      <c r="C20" s="4" t="s">
        <v>219</v>
      </c>
      <c r="D20" s="8">
        <v>45665</v>
      </c>
      <c r="E20" s="11">
        <v>10000000</v>
      </c>
    </row>
    <row r="21" spans="1:5" x14ac:dyDescent="0.3">
      <c r="A21" s="13" t="s">
        <v>16</v>
      </c>
      <c r="B21" s="4" t="s">
        <v>116</v>
      </c>
      <c r="C21" s="4" t="s">
        <v>216</v>
      </c>
      <c r="D21" s="8">
        <v>45665</v>
      </c>
      <c r="E21" s="11">
        <v>3000000</v>
      </c>
    </row>
    <row r="22" spans="1:5" x14ac:dyDescent="0.3">
      <c r="A22" s="13" t="s">
        <v>5</v>
      </c>
      <c r="B22" s="4" t="s">
        <v>105</v>
      </c>
      <c r="C22" s="4" t="s">
        <v>205</v>
      </c>
      <c r="D22" s="8">
        <v>45665</v>
      </c>
      <c r="E22" s="11">
        <v>500000</v>
      </c>
    </row>
    <row r="23" spans="1:5" x14ac:dyDescent="0.3">
      <c r="A23" s="13" t="s">
        <v>70</v>
      </c>
      <c r="B23" s="4" t="s">
        <v>170</v>
      </c>
      <c r="C23" s="4" t="s">
        <v>270</v>
      </c>
      <c r="D23" s="8">
        <v>45665</v>
      </c>
      <c r="E23" s="11">
        <v>20000000</v>
      </c>
    </row>
    <row r="24" spans="1:5" x14ac:dyDescent="0.3">
      <c r="A24" s="13" t="s">
        <v>51</v>
      </c>
      <c r="B24" s="4" t="s">
        <v>151</v>
      </c>
      <c r="C24" s="4" t="s">
        <v>251</v>
      </c>
      <c r="D24" s="8">
        <v>45666</v>
      </c>
      <c r="E24" s="11">
        <v>1000000</v>
      </c>
    </row>
    <row r="25" spans="1:5" x14ac:dyDescent="0.3">
      <c r="A25" s="13" t="s">
        <v>30</v>
      </c>
      <c r="B25" s="4" t="s">
        <v>130</v>
      </c>
      <c r="C25" s="4" t="s">
        <v>230</v>
      </c>
      <c r="D25" s="8">
        <v>45666</v>
      </c>
      <c r="E25" s="11">
        <v>2000000</v>
      </c>
    </row>
    <row r="26" spans="1:5" x14ac:dyDescent="0.3">
      <c r="A26" s="13" t="s">
        <v>27</v>
      </c>
      <c r="B26" s="4" t="s">
        <v>127</v>
      </c>
      <c r="C26" s="4" t="s">
        <v>227</v>
      </c>
      <c r="D26" s="8">
        <v>45667</v>
      </c>
      <c r="E26" s="11">
        <v>200000</v>
      </c>
    </row>
    <row r="27" spans="1:5" x14ac:dyDescent="0.3">
      <c r="A27" s="13" t="s">
        <v>23</v>
      </c>
      <c r="B27" s="4" t="s">
        <v>123</v>
      </c>
      <c r="C27" s="4" t="s">
        <v>223</v>
      </c>
      <c r="D27" s="8">
        <v>45667</v>
      </c>
      <c r="E27" s="11">
        <v>100000</v>
      </c>
    </row>
    <row r="28" spans="1:5" x14ac:dyDescent="0.3">
      <c r="A28" s="13" t="s">
        <v>46</v>
      </c>
      <c r="B28" s="4" t="s">
        <v>146</v>
      </c>
      <c r="C28" s="4" t="s">
        <v>246</v>
      </c>
      <c r="D28" s="8">
        <v>45667</v>
      </c>
      <c r="E28" s="11">
        <v>150000</v>
      </c>
    </row>
    <row r="29" spans="1:5" x14ac:dyDescent="0.3">
      <c r="A29" s="13" t="s">
        <v>16</v>
      </c>
      <c r="B29" s="4" t="s">
        <v>116</v>
      </c>
      <c r="C29" s="4" t="s">
        <v>216</v>
      </c>
      <c r="D29" s="8">
        <v>45668</v>
      </c>
      <c r="E29" s="11">
        <v>5000000</v>
      </c>
    </row>
    <row r="30" spans="1:5" x14ac:dyDescent="0.3">
      <c r="A30" s="13" t="s">
        <v>36</v>
      </c>
      <c r="B30" s="4" t="s">
        <v>136</v>
      </c>
      <c r="C30" s="4" t="s">
        <v>236</v>
      </c>
      <c r="D30" s="8">
        <v>45668</v>
      </c>
      <c r="E30" s="11">
        <v>150000</v>
      </c>
    </row>
    <row r="31" spans="1:5" x14ac:dyDescent="0.3">
      <c r="A31" s="13" t="s">
        <v>51</v>
      </c>
      <c r="B31" s="4" t="s">
        <v>151</v>
      </c>
      <c r="C31" s="4" t="s">
        <v>251</v>
      </c>
      <c r="D31" s="8">
        <v>45668</v>
      </c>
      <c r="E31" s="11">
        <v>200000</v>
      </c>
    </row>
    <row r="32" spans="1:5" x14ac:dyDescent="0.3">
      <c r="A32" s="13" t="s">
        <v>76</v>
      </c>
      <c r="B32" s="4" t="s">
        <v>176</v>
      </c>
      <c r="C32" s="4" t="s">
        <v>276</v>
      </c>
      <c r="D32" s="8">
        <v>45668</v>
      </c>
      <c r="E32" s="11">
        <v>10000000</v>
      </c>
    </row>
    <row r="33" spans="1:5" x14ac:dyDescent="0.3">
      <c r="A33" s="13" t="s">
        <v>72</v>
      </c>
      <c r="B33" s="4" t="s">
        <v>172</v>
      </c>
      <c r="C33" s="4" t="s">
        <v>272</v>
      </c>
      <c r="D33" s="8">
        <v>45668</v>
      </c>
      <c r="E33" s="11">
        <v>100000</v>
      </c>
    </row>
    <row r="34" spans="1:5" x14ac:dyDescent="0.3">
      <c r="A34" s="13" t="s">
        <v>39</v>
      </c>
      <c r="B34" s="4" t="s">
        <v>139</v>
      </c>
      <c r="C34" s="4" t="s">
        <v>239</v>
      </c>
      <c r="D34" s="8">
        <v>45668</v>
      </c>
      <c r="E34" s="11">
        <v>50000</v>
      </c>
    </row>
    <row r="35" spans="1:5" x14ac:dyDescent="0.3">
      <c r="A35" s="13" t="s">
        <v>56</v>
      </c>
      <c r="B35" s="4" t="s">
        <v>156</v>
      </c>
      <c r="C35" s="4" t="s">
        <v>256</v>
      </c>
      <c r="D35" s="8">
        <v>45668</v>
      </c>
      <c r="E35" s="11">
        <v>500000</v>
      </c>
    </row>
    <row r="36" spans="1:5" x14ac:dyDescent="0.3">
      <c r="A36" s="13" t="s">
        <v>17</v>
      </c>
      <c r="B36" s="4" t="s">
        <v>117</v>
      </c>
      <c r="C36" s="4" t="s">
        <v>217</v>
      </c>
      <c r="D36" s="8">
        <v>45668</v>
      </c>
      <c r="E36" s="11">
        <v>50000</v>
      </c>
    </row>
    <row r="37" spans="1:5" x14ac:dyDescent="0.3">
      <c r="A37" s="13" t="s">
        <v>35</v>
      </c>
      <c r="B37" s="4" t="s">
        <v>135</v>
      </c>
      <c r="C37" s="4" t="s">
        <v>235</v>
      </c>
      <c r="D37" s="8">
        <v>45668</v>
      </c>
      <c r="E37" s="11">
        <v>2000000</v>
      </c>
    </row>
    <row r="38" spans="1:5" x14ac:dyDescent="0.3">
      <c r="A38" s="13" t="s">
        <v>37</v>
      </c>
      <c r="B38" s="4" t="s">
        <v>137</v>
      </c>
      <c r="C38" s="4" t="s">
        <v>237</v>
      </c>
      <c r="D38" s="8">
        <v>45669</v>
      </c>
      <c r="E38" s="11">
        <v>5000000</v>
      </c>
    </row>
    <row r="39" spans="1:5" x14ac:dyDescent="0.3">
      <c r="A39" s="13" t="s">
        <v>16</v>
      </c>
      <c r="B39" s="4" t="s">
        <v>116</v>
      </c>
      <c r="C39" s="4" t="s">
        <v>216</v>
      </c>
      <c r="D39" s="8">
        <v>45669</v>
      </c>
      <c r="E39" s="11">
        <v>1000000</v>
      </c>
    </row>
    <row r="40" spans="1:5" x14ac:dyDescent="0.3">
      <c r="A40" s="13" t="s">
        <v>88</v>
      </c>
      <c r="B40" s="4" t="s">
        <v>188</v>
      </c>
      <c r="C40" s="4" t="s">
        <v>288</v>
      </c>
      <c r="D40" s="8">
        <v>45669</v>
      </c>
      <c r="E40" s="11">
        <v>200000</v>
      </c>
    </row>
    <row r="41" spans="1:5" x14ac:dyDescent="0.3">
      <c r="A41" s="13" t="s">
        <v>61</v>
      </c>
      <c r="B41" s="4" t="s">
        <v>161</v>
      </c>
      <c r="C41" s="4" t="s">
        <v>261</v>
      </c>
      <c r="D41" s="8">
        <v>45669</v>
      </c>
      <c r="E41" s="11">
        <v>50000</v>
      </c>
    </row>
    <row r="42" spans="1:5" x14ac:dyDescent="0.3">
      <c r="A42" s="13" t="s">
        <v>88</v>
      </c>
      <c r="B42" s="4" t="s">
        <v>188</v>
      </c>
      <c r="C42" s="4" t="s">
        <v>288</v>
      </c>
      <c r="D42" s="8">
        <v>45669</v>
      </c>
      <c r="E42" s="11">
        <v>150000</v>
      </c>
    </row>
    <row r="43" spans="1:5" x14ac:dyDescent="0.3">
      <c r="A43" s="13" t="s">
        <v>72</v>
      </c>
      <c r="B43" s="4" t="s">
        <v>172</v>
      </c>
      <c r="C43" s="4" t="s">
        <v>272</v>
      </c>
      <c r="D43" s="8">
        <v>45670</v>
      </c>
      <c r="E43" s="11">
        <v>10000000</v>
      </c>
    </row>
    <row r="44" spans="1:5" x14ac:dyDescent="0.3">
      <c r="A44" s="13" t="s">
        <v>40</v>
      </c>
      <c r="B44" s="4" t="s">
        <v>140</v>
      </c>
      <c r="C44" s="4" t="s">
        <v>240</v>
      </c>
      <c r="D44" s="8">
        <v>45670</v>
      </c>
      <c r="E44" s="11">
        <v>200000</v>
      </c>
    </row>
    <row r="45" spans="1:5" x14ac:dyDescent="0.3">
      <c r="A45" s="13" t="s">
        <v>96</v>
      </c>
      <c r="B45" s="4" t="s">
        <v>196</v>
      </c>
      <c r="C45" s="4" t="s">
        <v>296</v>
      </c>
      <c r="D45" s="8">
        <v>45670</v>
      </c>
      <c r="E45" s="11">
        <v>2000000</v>
      </c>
    </row>
    <row r="46" spans="1:5" x14ac:dyDescent="0.3">
      <c r="A46" s="13" t="s">
        <v>93</v>
      </c>
      <c r="B46" s="4" t="s">
        <v>193</v>
      </c>
      <c r="C46" s="4" t="s">
        <v>293</v>
      </c>
      <c r="D46" s="8">
        <v>45670</v>
      </c>
      <c r="E46" s="11">
        <v>1000000</v>
      </c>
    </row>
    <row r="47" spans="1:5" x14ac:dyDescent="0.3">
      <c r="A47" s="13" t="s">
        <v>19</v>
      </c>
      <c r="B47" s="4" t="s">
        <v>119</v>
      </c>
      <c r="C47" s="4" t="s">
        <v>219</v>
      </c>
      <c r="D47" s="8">
        <v>45671</v>
      </c>
      <c r="E47" s="11">
        <v>200000</v>
      </c>
    </row>
    <row r="48" spans="1:5" x14ac:dyDescent="0.3">
      <c r="A48" s="13" t="s">
        <v>32</v>
      </c>
      <c r="B48" s="4" t="s">
        <v>132</v>
      </c>
      <c r="C48" s="4" t="s">
        <v>232</v>
      </c>
      <c r="D48" s="8">
        <v>45671</v>
      </c>
      <c r="E48" s="11">
        <v>50000</v>
      </c>
    </row>
    <row r="49" spans="1:5" x14ac:dyDescent="0.3">
      <c r="A49" s="13" t="s">
        <v>30</v>
      </c>
      <c r="B49" s="4" t="s">
        <v>130</v>
      </c>
      <c r="C49" s="4" t="s">
        <v>230</v>
      </c>
      <c r="D49" s="8">
        <v>45671</v>
      </c>
      <c r="E49" s="11">
        <v>200000</v>
      </c>
    </row>
    <row r="50" spans="1:5" x14ac:dyDescent="0.3">
      <c r="A50" s="13" t="s">
        <v>6</v>
      </c>
      <c r="B50" s="4" t="s">
        <v>106</v>
      </c>
      <c r="C50" s="4" t="s">
        <v>206</v>
      </c>
      <c r="D50" s="8">
        <v>45671</v>
      </c>
      <c r="E50" s="11">
        <v>50000</v>
      </c>
    </row>
    <row r="51" spans="1:5" x14ac:dyDescent="0.3">
      <c r="A51" s="13" t="s">
        <v>92</v>
      </c>
      <c r="B51" s="4" t="s">
        <v>192</v>
      </c>
      <c r="C51" s="4" t="s">
        <v>292</v>
      </c>
      <c r="D51" s="8">
        <v>45671</v>
      </c>
      <c r="E51" s="11">
        <v>10000000</v>
      </c>
    </row>
    <row r="52" spans="1:5" x14ac:dyDescent="0.3">
      <c r="A52" s="13" t="s">
        <v>36</v>
      </c>
      <c r="B52" s="4" t="s">
        <v>136</v>
      </c>
      <c r="C52" s="4" t="s">
        <v>236</v>
      </c>
      <c r="D52" s="8">
        <v>45671</v>
      </c>
      <c r="E52" s="11">
        <v>1000000</v>
      </c>
    </row>
    <row r="53" spans="1:5" x14ac:dyDescent="0.3">
      <c r="A53" s="13" t="s">
        <v>59</v>
      </c>
      <c r="B53" s="4" t="s">
        <v>159</v>
      </c>
      <c r="C53" s="4" t="s">
        <v>259</v>
      </c>
      <c r="D53" s="8">
        <v>45672</v>
      </c>
      <c r="E53" s="11">
        <v>250000</v>
      </c>
    </row>
    <row r="54" spans="1:5" x14ac:dyDescent="0.3">
      <c r="A54" s="13" t="s">
        <v>47</v>
      </c>
      <c r="B54" s="4" t="s">
        <v>147</v>
      </c>
      <c r="C54" s="4" t="s">
        <v>247</v>
      </c>
      <c r="D54" s="8">
        <v>45672</v>
      </c>
      <c r="E54" s="11">
        <v>250000</v>
      </c>
    </row>
    <row r="55" spans="1:5" x14ac:dyDescent="0.3">
      <c r="A55" s="13" t="s">
        <v>46</v>
      </c>
      <c r="B55" s="4" t="s">
        <v>146</v>
      </c>
      <c r="C55" s="4" t="s">
        <v>246</v>
      </c>
      <c r="D55" s="8">
        <v>45672</v>
      </c>
      <c r="E55" s="11">
        <v>7000000</v>
      </c>
    </row>
    <row r="56" spans="1:5" x14ac:dyDescent="0.3">
      <c r="A56" s="13" t="s">
        <v>38</v>
      </c>
      <c r="B56" s="4" t="s">
        <v>138</v>
      </c>
      <c r="C56" s="4" t="s">
        <v>238</v>
      </c>
      <c r="D56" s="8">
        <v>45672</v>
      </c>
      <c r="E56" s="11">
        <v>1000000</v>
      </c>
    </row>
    <row r="57" spans="1:5" x14ac:dyDescent="0.3">
      <c r="A57" s="13" t="s">
        <v>33</v>
      </c>
      <c r="B57" s="4" t="s">
        <v>133</v>
      </c>
      <c r="C57" s="4" t="s">
        <v>233</v>
      </c>
      <c r="D57" s="8">
        <v>45673</v>
      </c>
      <c r="E57" s="11">
        <v>20000000</v>
      </c>
    </row>
    <row r="58" spans="1:5" x14ac:dyDescent="0.3">
      <c r="A58" s="13" t="s">
        <v>70</v>
      </c>
      <c r="B58" s="4" t="s">
        <v>170</v>
      </c>
      <c r="C58" s="4" t="s">
        <v>270</v>
      </c>
      <c r="D58" s="8">
        <v>45673</v>
      </c>
      <c r="E58" s="11">
        <v>200000</v>
      </c>
    </row>
    <row r="59" spans="1:5" x14ac:dyDescent="0.3">
      <c r="A59" s="13" t="s">
        <v>22</v>
      </c>
      <c r="B59" s="4" t="s">
        <v>122</v>
      </c>
      <c r="C59" s="4" t="s">
        <v>222</v>
      </c>
      <c r="D59" s="8">
        <v>45674</v>
      </c>
      <c r="E59" s="11">
        <v>20000000</v>
      </c>
    </row>
    <row r="60" spans="1:5" x14ac:dyDescent="0.3">
      <c r="A60" s="13" t="s">
        <v>14</v>
      </c>
      <c r="B60" s="4" t="s">
        <v>114</v>
      </c>
      <c r="C60" s="4" t="s">
        <v>214</v>
      </c>
      <c r="D60" s="8">
        <v>45674</v>
      </c>
      <c r="E60" s="11">
        <v>200000</v>
      </c>
    </row>
    <row r="61" spans="1:5" x14ac:dyDescent="0.3">
      <c r="A61" s="13" t="s">
        <v>61</v>
      </c>
      <c r="B61" s="4" t="s">
        <v>161</v>
      </c>
      <c r="C61" s="4" t="s">
        <v>261</v>
      </c>
      <c r="D61" s="8">
        <v>45674</v>
      </c>
      <c r="E61" s="11">
        <v>250000</v>
      </c>
    </row>
    <row r="62" spans="1:5" x14ac:dyDescent="0.3">
      <c r="A62" s="13" t="s">
        <v>67</v>
      </c>
      <c r="B62" s="4" t="s">
        <v>167</v>
      </c>
      <c r="C62" s="4" t="s">
        <v>267</v>
      </c>
      <c r="D62" s="8">
        <v>45674</v>
      </c>
      <c r="E62" s="11">
        <v>10000000</v>
      </c>
    </row>
    <row r="63" spans="1:5" x14ac:dyDescent="0.3">
      <c r="A63" s="13" t="s">
        <v>25</v>
      </c>
      <c r="B63" s="4" t="s">
        <v>125</v>
      </c>
      <c r="C63" s="4" t="s">
        <v>225</v>
      </c>
      <c r="D63" s="8">
        <v>45675</v>
      </c>
      <c r="E63" s="11">
        <v>500000</v>
      </c>
    </row>
    <row r="64" spans="1:5" x14ac:dyDescent="0.3">
      <c r="A64" s="13" t="s">
        <v>68</v>
      </c>
      <c r="B64" s="4" t="s">
        <v>168</v>
      </c>
      <c r="C64" s="4" t="s">
        <v>268</v>
      </c>
      <c r="D64" s="8">
        <v>45675</v>
      </c>
      <c r="E64" s="11">
        <v>150000</v>
      </c>
    </row>
    <row r="65" spans="1:5" x14ac:dyDescent="0.3">
      <c r="A65" s="13" t="s">
        <v>68</v>
      </c>
      <c r="B65" s="4" t="s">
        <v>168</v>
      </c>
      <c r="C65" s="4" t="s">
        <v>268</v>
      </c>
      <c r="D65" s="8">
        <v>45675</v>
      </c>
      <c r="E65" s="11">
        <v>250000</v>
      </c>
    </row>
    <row r="66" spans="1:5" x14ac:dyDescent="0.3">
      <c r="A66" s="13" t="s">
        <v>31</v>
      </c>
      <c r="B66" s="4" t="s">
        <v>131</v>
      </c>
      <c r="C66" s="4" t="s">
        <v>231</v>
      </c>
      <c r="D66" s="8">
        <v>45676</v>
      </c>
      <c r="E66" s="11">
        <v>10000000</v>
      </c>
    </row>
    <row r="67" spans="1:5" x14ac:dyDescent="0.3">
      <c r="A67" s="13" t="s">
        <v>78</v>
      </c>
      <c r="B67" s="4" t="s">
        <v>178</v>
      </c>
      <c r="C67" s="4" t="s">
        <v>278</v>
      </c>
      <c r="D67" s="8">
        <v>45676</v>
      </c>
      <c r="E67" s="11">
        <v>10000000</v>
      </c>
    </row>
    <row r="68" spans="1:5" x14ac:dyDescent="0.3">
      <c r="A68" s="13" t="s">
        <v>82</v>
      </c>
      <c r="B68" s="4" t="s">
        <v>182</v>
      </c>
      <c r="C68" s="4" t="s">
        <v>282</v>
      </c>
      <c r="D68" s="8">
        <v>45676</v>
      </c>
      <c r="E68" s="11">
        <v>150000</v>
      </c>
    </row>
    <row r="69" spans="1:5" x14ac:dyDescent="0.3">
      <c r="A69" s="13" t="s">
        <v>86</v>
      </c>
      <c r="B69" s="4" t="s">
        <v>186</v>
      </c>
      <c r="C69" s="4" t="s">
        <v>286</v>
      </c>
      <c r="D69" s="8">
        <v>45676</v>
      </c>
      <c r="E69" s="11">
        <v>20000000</v>
      </c>
    </row>
    <row r="70" spans="1:5" x14ac:dyDescent="0.3">
      <c r="A70" s="13" t="s">
        <v>17</v>
      </c>
      <c r="B70" s="4" t="s">
        <v>117</v>
      </c>
      <c r="C70" s="4" t="s">
        <v>217</v>
      </c>
      <c r="D70" s="8">
        <v>45676</v>
      </c>
      <c r="E70" s="11">
        <v>20000000</v>
      </c>
    </row>
    <row r="71" spans="1:5" x14ac:dyDescent="0.3">
      <c r="A71" s="13" t="s">
        <v>21</v>
      </c>
      <c r="B71" s="4" t="s">
        <v>121</v>
      </c>
      <c r="C71" s="4" t="s">
        <v>221</v>
      </c>
      <c r="D71" s="8">
        <v>45676</v>
      </c>
      <c r="E71" s="11">
        <v>3000000</v>
      </c>
    </row>
    <row r="72" spans="1:5" x14ac:dyDescent="0.3">
      <c r="A72" s="13" t="s">
        <v>88</v>
      </c>
      <c r="B72" s="4" t="s">
        <v>188</v>
      </c>
      <c r="C72" s="4" t="s">
        <v>288</v>
      </c>
      <c r="D72" s="8">
        <v>45676</v>
      </c>
      <c r="E72" s="11">
        <v>2000000</v>
      </c>
    </row>
    <row r="73" spans="1:5" x14ac:dyDescent="0.3">
      <c r="A73" s="13" t="s">
        <v>64</v>
      </c>
      <c r="B73" s="4" t="s">
        <v>164</v>
      </c>
      <c r="C73" s="4" t="s">
        <v>264</v>
      </c>
      <c r="D73" s="8">
        <v>45676</v>
      </c>
      <c r="E73" s="11">
        <v>50000</v>
      </c>
    </row>
    <row r="74" spans="1:5" x14ac:dyDescent="0.3">
      <c r="A74" s="13" t="s">
        <v>40</v>
      </c>
      <c r="B74" s="4" t="s">
        <v>140</v>
      </c>
      <c r="C74" s="4" t="s">
        <v>240</v>
      </c>
      <c r="D74" s="8">
        <v>45677</v>
      </c>
      <c r="E74" s="11">
        <v>100000</v>
      </c>
    </row>
    <row r="75" spans="1:5" x14ac:dyDescent="0.3">
      <c r="A75" s="13" t="s">
        <v>42</v>
      </c>
      <c r="B75" s="4" t="s">
        <v>142</v>
      </c>
      <c r="C75" s="4" t="s">
        <v>242</v>
      </c>
      <c r="D75" s="8">
        <v>45677</v>
      </c>
      <c r="E75" s="11">
        <v>250000</v>
      </c>
    </row>
    <row r="76" spans="1:5" x14ac:dyDescent="0.3">
      <c r="A76" s="13" t="s">
        <v>90</v>
      </c>
      <c r="B76" s="4" t="s">
        <v>190</v>
      </c>
      <c r="C76" s="4" t="s">
        <v>290</v>
      </c>
      <c r="D76" s="8">
        <v>45678</v>
      </c>
      <c r="E76" s="11">
        <v>7000000</v>
      </c>
    </row>
    <row r="77" spans="1:5" x14ac:dyDescent="0.3">
      <c r="A77" s="13" t="s">
        <v>72</v>
      </c>
      <c r="B77" s="4" t="s">
        <v>172</v>
      </c>
      <c r="C77" s="4" t="s">
        <v>272</v>
      </c>
      <c r="D77" s="8">
        <v>45678</v>
      </c>
      <c r="E77" s="11">
        <v>1000000</v>
      </c>
    </row>
    <row r="78" spans="1:5" x14ac:dyDescent="0.3">
      <c r="A78" s="13" t="s">
        <v>91</v>
      </c>
      <c r="B78" s="4" t="s">
        <v>191</v>
      </c>
      <c r="C78" s="4" t="s">
        <v>291</v>
      </c>
      <c r="D78" s="8">
        <v>45678</v>
      </c>
      <c r="E78" s="11">
        <v>20000000</v>
      </c>
    </row>
    <row r="79" spans="1:5" x14ac:dyDescent="0.3">
      <c r="A79" s="13" t="s">
        <v>34</v>
      </c>
      <c r="B79" s="4" t="s">
        <v>134</v>
      </c>
      <c r="C79" s="4" t="s">
        <v>234</v>
      </c>
      <c r="D79" s="8">
        <v>45678</v>
      </c>
      <c r="E79" s="11">
        <v>2000000</v>
      </c>
    </row>
    <row r="80" spans="1:5" x14ac:dyDescent="0.3">
      <c r="A80" s="13" t="s">
        <v>101</v>
      </c>
      <c r="B80" s="4" t="s">
        <v>201</v>
      </c>
      <c r="C80" s="4" t="s">
        <v>301</v>
      </c>
      <c r="D80" s="8">
        <v>45678</v>
      </c>
      <c r="E80" s="11">
        <v>500000</v>
      </c>
    </row>
    <row r="81" spans="1:5" x14ac:dyDescent="0.3">
      <c r="A81" s="13" t="s">
        <v>31</v>
      </c>
      <c r="B81" s="4" t="s">
        <v>131</v>
      </c>
      <c r="C81" s="4" t="s">
        <v>231</v>
      </c>
      <c r="D81" s="8">
        <v>45679</v>
      </c>
      <c r="E81" s="11">
        <v>20000000</v>
      </c>
    </row>
    <row r="82" spans="1:5" x14ac:dyDescent="0.3">
      <c r="A82" s="13" t="s">
        <v>79</v>
      </c>
      <c r="B82" s="4" t="s">
        <v>179</v>
      </c>
      <c r="C82" s="4" t="s">
        <v>279</v>
      </c>
      <c r="D82" s="8">
        <v>45679</v>
      </c>
      <c r="E82" s="11">
        <v>150000</v>
      </c>
    </row>
    <row r="83" spans="1:5" x14ac:dyDescent="0.3">
      <c r="A83" s="13" t="s">
        <v>36</v>
      </c>
      <c r="B83" s="4" t="s">
        <v>136</v>
      </c>
      <c r="C83" s="4" t="s">
        <v>236</v>
      </c>
      <c r="D83" s="8">
        <v>45679</v>
      </c>
      <c r="E83" s="11">
        <v>250000</v>
      </c>
    </row>
    <row r="84" spans="1:5" x14ac:dyDescent="0.3">
      <c r="A84" s="13" t="s">
        <v>58</v>
      </c>
      <c r="B84" s="4" t="s">
        <v>158</v>
      </c>
      <c r="C84" s="4" t="s">
        <v>258</v>
      </c>
      <c r="D84" s="8">
        <v>45679</v>
      </c>
      <c r="E84" s="11">
        <v>500000</v>
      </c>
    </row>
    <row r="85" spans="1:5" x14ac:dyDescent="0.3">
      <c r="A85" s="13" t="s">
        <v>66</v>
      </c>
      <c r="B85" s="4" t="s">
        <v>166</v>
      </c>
      <c r="C85" s="4" t="s">
        <v>266</v>
      </c>
      <c r="D85" s="8">
        <v>45680</v>
      </c>
      <c r="E85" s="11">
        <v>2000000</v>
      </c>
    </row>
    <row r="86" spans="1:5" x14ac:dyDescent="0.3">
      <c r="A86" s="13" t="s">
        <v>86</v>
      </c>
      <c r="B86" s="4" t="s">
        <v>186</v>
      </c>
      <c r="C86" s="4" t="s">
        <v>286</v>
      </c>
      <c r="D86" s="8">
        <v>45680</v>
      </c>
      <c r="E86" s="11">
        <v>50000</v>
      </c>
    </row>
    <row r="87" spans="1:5" x14ac:dyDescent="0.3">
      <c r="A87" s="13" t="s">
        <v>62</v>
      </c>
      <c r="B87" s="4" t="s">
        <v>162</v>
      </c>
      <c r="C87" s="4" t="s">
        <v>262</v>
      </c>
      <c r="D87" s="8">
        <v>45680</v>
      </c>
      <c r="E87" s="11">
        <v>200000</v>
      </c>
    </row>
    <row r="88" spans="1:5" x14ac:dyDescent="0.3">
      <c r="A88" s="13" t="s">
        <v>31</v>
      </c>
      <c r="B88" s="4" t="s">
        <v>131</v>
      </c>
      <c r="C88" s="4" t="s">
        <v>231</v>
      </c>
      <c r="D88" s="8">
        <v>45680</v>
      </c>
      <c r="E88" s="11">
        <v>150000</v>
      </c>
    </row>
    <row r="89" spans="1:5" x14ac:dyDescent="0.3">
      <c r="A89" s="13" t="s">
        <v>38</v>
      </c>
      <c r="B89" s="4" t="s">
        <v>138</v>
      </c>
      <c r="C89" s="4" t="s">
        <v>238</v>
      </c>
      <c r="D89" s="8">
        <v>45680</v>
      </c>
      <c r="E89" s="11">
        <v>3000000</v>
      </c>
    </row>
    <row r="90" spans="1:5" x14ac:dyDescent="0.3">
      <c r="A90" s="13" t="s">
        <v>5</v>
      </c>
      <c r="B90" s="4" t="s">
        <v>105</v>
      </c>
      <c r="C90" s="4" t="s">
        <v>205</v>
      </c>
      <c r="D90" s="8">
        <v>45681</v>
      </c>
      <c r="E90" s="11">
        <v>200000</v>
      </c>
    </row>
    <row r="91" spans="1:5" x14ac:dyDescent="0.3">
      <c r="A91" s="13" t="s">
        <v>62</v>
      </c>
      <c r="B91" s="4" t="s">
        <v>162</v>
      </c>
      <c r="C91" s="4" t="s">
        <v>262</v>
      </c>
      <c r="D91" s="8">
        <v>45681</v>
      </c>
      <c r="E91" s="11">
        <v>100000</v>
      </c>
    </row>
    <row r="92" spans="1:5" x14ac:dyDescent="0.3">
      <c r="A92" s="13" t="s">
        <v>41</v>
      </c>
      <c r="B92" s="4" t="s">
        <v>141</v>
      </c>
      <c r="C92" s="4" t="s">
        <v>241</v>
      </c>
      <c r="D92" s="8">
        <v>45682</v>
      </c>
      <c r="E92" s="11">
        <v>3000000</v>
      </c>
    </row>
    <row r="93" spans="1:5" x14ac:dyDescent="0.3">
      <c r="A93" s="13" t="s">
        <v>72</v>
      </c>
      <c r="B93" s="4" t="s">
        <v>172</v>
      </c>
      <c r="C93" s="4" t="s">
        <v>272</v>
      </c>
      <c r="D93" s="8">
        <v>45682</v>
      </c>
      <c r="E93" s="11">
        <v>20000000</v>
      </c>
    </row>
    <row r="94" spans="1:5" x14ac:dyDescent="0.3">
      <c r="A94" s="13" t="s">
        <v>85</v>
      </c>
      <c r="B94" s="4" t="s">
        <v>185</v>
      </c>
      <c r="C94" s="4" t="s">
        <v>285</v>
      </c>
      <c r="D94" s="8">
        <v>45682</v>
      </c>
      <c r="E94" s="11">
        <v>50000</v>
      </c>
    </row>
    <row r="95" spans="1:5" x14ac:dyDescent="0.3">
      <c r="A95" s="13" t="s">
        <v>15</v>
      </c>
      <c r="B95" s="4" t="s">
        <v>115</v>
      </c>
      <c r="C95" s="4" t="s">
        <v>215</v>
      </c>
      <c r="D95" s="8">
        <v>45683</v>
      </c>
      <c r="E95" s="11">
        <v>500000</v>
      </c>
    </row>
    <row r="96" spans="1:5" x14ac:dyDescent="0.3">
      <c r="A96" s="13" t="s">
        <v>50</v>
      </c>
      <c r="B96" s="4" t="s">
        <v>150</v>
      </c>
      <c r="C96" s="4" t="s">
        <v>250</v>
      </c>
      <c r="D96" s="8">
        <v>45683</v>
      </c>
      <c r="E96" s="11">
        <v>2000000</v>
      </c>
    </row>
    <row r="97" spans="1:5" x14ac:dyDescent="0.3">
      <c r="A97" s="13" t="s">
        <v>84</v>
      </c>
      <c r="B97" s="4" t="s">
        <v>184</v>
      </c>
      <c r="C97" s="4" t="s">
        <v>284</v>
      </c>
      <c r="D97" s="8">
        <v>45683</v>
      </c>
      <c r="E97" s="11">
        <v>3000000</v>
      </c>
    </row>
    <row r="98" spans="1:5" x14ac:dyDescent="0.3">
      <c r="A98" s="13" t="s">
        <v>20</v>
      </c>
      <c r="B98" s="4" t="s">
        <v>120</v>
      </c>
      <c r="C98" s="4" t="s">
        <v>220</v>
      </c>
      <c r="D98" s="8">
        <v>45684</v>
      </c>
      <c r="E98" s="11">
        <v>100000</v>
      </c>
    </row>
    <row r="99" spans="1:5" x14ac:dyDescent="0.3">
      <c r="A99" s="13" t="s">
        <v>75</v>
      </c>
      <c r="B99" s="4" t="s">
        <v>175</v>
      </c>
      <c r="C99" s="4" t="s">
        <v>275</v>
      </c>
      <c r="D99" s="8">
        <v>45684</v>
      </c>
      <c r="E99" s="11">
        <v>5000000</v>
      </c>
    </row>
    <row r="100" spans="1:5" x14ac:dyDescent="0.3">
      <c r="A100" s="13" t="s">
        <v>55</v>
      </c>
      <c r="B100" s="4" t="s">
        <v>155</v>
      </c>
      <c r="C100" s="4" t="s">
        <v>255</v>
      </c>
      <c r="D100" s="8">
        <v>45684</v>
      </c>
      <c r="E100" s="11">
        <v>50000</v>
      </c>
    </row>
    <row r="101" spans="1:5" x14ac:dyDescent="0.3">
      <c r="A101" s="13" t="s">
        <v>44</v>
      </c>
      <c r="B101" s="4" t="s">
        <v>144</v>
      </c>
      <c r="C101" s="4" t="s">
        <v>244</v>
      </c>
      <c r="D101" s="8">
        <v>45685</v>
      </c>
      <c r="E101" s="11">
        <v>150000</v>
      </c>
    </row>
    <row r="102" spans="1:5" x14ac:dyDescent="0.3">
      <c r="A102" s="13" t="s">
        <v>9</v>
      </c>
      <c r="B102" s="4" t="s">
        <v>109</v>
      </c>
      <c r="C102" s="4" t="s">
        <v>209</v>
      </c>
      <c r="D102" s="8">
        <v>45685</v>
      </c>
      <c r="E102" s="11">
        <v>1000000</v>
      </c>
    </row>
    <row r="103" spans="1:5" x14ac:dyDescent="0.3">
      <c r="A103" s="13" t="s">
        <v>10</v>
      </c>
      <c r="B103" s="4" t="s">
        <v>110</v>
      </c>
      <c r="C103" s="4" t="s">
        <v>210</v>
      </c>
      <c r="D103" s="8">
        <v>45685</v>
      </c>
      <c r="E103" s="11">
        <v>250000</v>
      </c>
    </row>
    <row r="104" spans="1:5" x14ac:dyDescent="0.3">
      <c r="A104" s="13" t="s">
        <v>40</v>
      </c>
      <c r="B104" s="4" t="s">
        <v>140</v>
      </c>
      <c r="C104" s="4" t="s">
        <v>240</v>
      </c>
      <c r="D104" s="8">
        <v>45685</v>
      </c>
      <c r="E104" s="11">
        <v>5000000</v>
      </c>
    </row>
    <row r="105" spans="1:5" x14ac:dyDescent="0.3">
      <c r="A105" s="13" t="s">
        <v>103</v>
      </c>
      <c r="B105" s="4" t="s">
        <v>203</v>
      </c>
      <c r="C105" s="4" t="s">
        <v>303</v>
      </c>
      <c r="D105" s="8">
        <v>45685</v>
      </c>
      <c r="E105" s="11">
        <v>7000000</v>
      </c>
    </row>
    <row r="106" spans="1:5" x14ac:dyDescent="0.3">
      <c r="A106" s="13" t="s">
        <v>13</v>
      </c>
      <c r="B106" s="4" t="s">
        <v>113</v>
      </c>
      <c r="C106" s="4" t="s">
        <v>213</v>
      </c>
      <c r="D106" s="8">
        <v>45685</v>
      </c>
      <c r="E106" s="11">
        <v>20000000</v>
      </c>
    </row>
    <row r="107" spans="1:5" x14ac:dyDescent="0.3">
      <c r="A107" s="13" t="s">
        <v>8</v>
      </c>
      <c r="B107" s="4" t="s">
        <v>108</v>
      </c>
      <c r="C107" s="4" t="s">
        <v>208</v>
      </c>
      <c r="D107" s="8">
        <v>45685</v>
      </c>
      <c r="E107" s="11">
        <v>250000</v>
      </c>
    </row>
    <row r="108" spans="1:5" x14ac:dyDescent="0.3">
      <c r="A108" s="13" t="s">
        <v>76</v>
      </c>
      <c r="B108" s="4" t="s">
        <v>176</v>
      </c>
      <c r="C108" s="4" t="s">
        <v>276</v>
      </c>
      <c r="D108" s="8">
        <v>45685</v>
      </c>
      <c r="E108" s="11">
        <v>20000000</v>
      </c>
    </row>
    <row r="109" spans="1:5" x14ac:dyDescent="0.3">
      <c r="A109" s="13" t="s">
        <v>90</v>
      </c>
      <c r="B109" s="4" t="s">
        <v>190</v>
      </c>
      <c r="C109" s="4" t="s">
        <v>290</v>
      </c>
      <c r="D109" s="8">
        <v>45686</v>
      </c>
      <c r="E109" s="11">
        <v>7000000</v>
      </c>
    </row>
    <row r="110" spans="1:5" x14ac:dyDescent="0.3">
      <c r="A110" s="13" t="s">
        <v>18</v>
      </c>
      <c r="B110" s="4" t="s">
        <v>118</v>
      </c>
      <c r="C110" s="4" t="s">
        <v>218</v>
      </c>
      <c r="D110" s="8">
        <v>45686</v>
      </c>
      <c r="E110" s="11">
        <v>3000000</v>
      </c>
    </row>
    <row r="111" spans="1:5" x14ac:dyDescent="0.3">
      <c r="A111" s="13" t="s">
        <v>34</v>
      </c>
      <c r="B111" s="4" t="s">
        <v>134</v>
      </c>
      <c r="C111" s="4" t="s">
        <v>234</v>
      </c>
      <c r="D111" s="8">
        <v>45687</v>
      </c>
      <c r="E111" s="11">
        <v>500000</v>
      </c>
    </row>
    <row r="112" spans="1:5" x14ac:dyDescent="0.3">
      <c r="A112" s="13" t="s">
        <v>60</v>
      </c>
      <c r="B112" s="4" t="s">
        <v>160</v>
      </c>
      <c r="C112" s="4" t="s">
        <v>260</v>
      </c>
      <c r="D112" s="8">
        <v>45687</v>
      </c>
      <c r="E112" s="11">
        <v>3000000</v>
      </c>
    </row>
    <row r="113" spans="1:5" x14ac:dyDescent="0.3">
      <c r="A113" s="13" t="s">
        <v>85</v>
      </c>
      <c r="B113" s="4" t="s">
        <v>185</v>
      </c>
      <c r="C113" s="4" t="s">
        <v>285</v>
      </c>
      <c r="D113" s="8">
        <v>45688</v>
      </c>
      <c r="E113" s="11">
        <v>250000</v>
      </c>
    </row>
    <row r="114" spans="1:5" x14ac:dyDescent="0.3">
      <c r="A114" s="13" t="s">
        <v>19</v>
      </c>
      <c r="B114" s="4" t="s">
        <v>119</v>
      </c>
      <c r="C114" s="4" t="s">
        <v>219</v>
      </c>
      <c r="D114" s="8">
        <v>45688</v>
      </c>
      <c r="E114" s="11">
        <v>100000</v>
      </c>
    </row>
    <row r="115" spans="1:5" x14ac:dyDescent="0.3">
      <c r="A115" s="13" t="s">
        <v>99</v>
      </c>
      <c r="B115" s="4" t="s">
        <v>199</v>
      </c>
      <c r="C115" s="4" t="s">
        <v>299</v>
      </c>
      <c r="D115" s="8">
        <v>45688</v>
      </c>
      <c r="E115" s="11">
        <v>500000</v>
      </c>
    </row>
    <row r="116" spans="1:5" x14ac:dyDescent="0.3">
      <c r="A116" s="13" t="s">
        <v>92</v>
      </c>
      <c r="B116" s="4" t="s">
        <v>192</v>
      </c>
      <c r="C116" s="4" t="s">
        <v>292</v>
      </c>
      <c r="D116" s="8">
        <v>45689</v>
      </c>
      <c r="E116" s="11">
        <v>7000000</v>
      </c>
    </row>
    <row r="117" spans="1:5" x14ac:dyDescent="0.3">
      <c r="A117" s="13" t="s">
        <v>103</v>
      </c>
      <c r="B117" s="4" t="s">
        <v>203</v>
      </c>
      <c r="C117" s="4" t="s">
        <v>303</v>
      </c>
      <c r="D117" s="8">
        <v>45689</v>
      </c>
      <c r="E117" s="11">
        <v>250000</v>
      </c>
    </row>
    <row r="118" spans="1:5" x14ac:dyDescent="0.3">
      <c r="A118" s="13" t="s">
        <v>40</v>
      </c>
      <c r="B118" s="4" t="s">
        <v>140</v>
      </c>
      <c r="C118" s="4" t="s">
        <v>240</v>
      </c>
      <c r="D118" s="8">
        <v>45689</v>
      </c>
      <c r="E118" s="11">
        <v>100000</v>
      </c>
    </row>
    <row r="119" spans="1:5" x14ac:dyDescent="0.3">
      <c r="A119" s="13" t="s">
        <v>45</v>
      </c>
      <c r="B119" s="4" t="s">
        <v>145</v>
      </c>
      <c r="C119" s="4" t="s">
        <v>245</v>
      </c>
      <c r="D119" s="8">
        <v>45689</v>
      </c>
      <c r="E119" s="11">
        <v>7000000</v>
      </c>
    </row>
    <row r="120" spans="1:5" x14ac:dyDescent="0.3">
      <c r="A120" s="13" t="s">
        <v>98</v>
      </c>
      <c r="B120" s="4" t="s">
        <v>198</v>
      </c>
      <c r="C120" s="4" t="s">
        <v>298</v>
      </c>
      <c r="D120" s="8">
        <v>45689</v>
      </c>
      <c r="E120" s="11">
        <v>20000000</v>
      </c>
    </row>
    <row r="121" spans="1:5" x14ac:dyDescent="0.3">
      <c r="A121" s="13" t="s">
        <v>47</v>
      </c>
      <c r="B121" s="4" t="s">
        <v>147</v>
      </c>
      <c r="C121" s="4" t="s">
        <v>247</v>
      </c>
      <c r="D121" s="8">
        <v>45689</v>
      </c>
      <c r="E121" s="11">
        <v>1000000</v>
      </c>
    </row>
    <row r="122" spans="1:5" x14ac:dyDescent="0.3">
      <c r="A122" s="13" t="s">
        <v>55</v>
      </c>
      <c r="B122" s="4" t="s">
        <v>155</v>
      </c>
      <c r="C122" s="4" t="s">
        <v>255</v>
      </c>
      <c r="D122" s="8">
        <v>45690</v>
      </c>
      <c r="E122" s="11">
        <v>7000000</v>
      </c>
    </row>
    <row r="123" spans="1:5" x14ac:dyDescent="0.3">
      <c r="A123" s="13" t="s">
        <v>80</v>
      </c>
      <c r="B123" s="4" t="s">
        <v>180</v>
      </c>
      <c r="C123" s="4" t="s">
        <v>280</v>
      </c>
      <c r="D123" s="8">
        <v>45690</v>
      </c>
      <c r="E123" s="11">
        <v>20000000</v>
      </c>
    </row>
    <row r="124" spans="1:5" x14ac:dyDescent="0.3">
      <c r="A124" s="13" t="s">
        <v>31</v>
      </c>
      <c r="B124" s="4" t="s">
        <v>131</v>
      </c>
      <c r="C124" s="4" t="s">
        <v>231</v>
      </c>
      <c r="D124" s="8">
        <v>45690</v>
      </c>
      <c r="E124" s="11">
        <v>150000</v>
      </c>
    </row>
    <row r="125" spans="1:5" x14ac:dyDescent="0.3">
      <c r="A125" s="13" t="s">
        <v>33</v>
      </c>
      <c r="B125" s="4" t="s">
        <v>133</v>
      </c>
      <c r="C125" s="4" t="s">
        <v>233</v>
      </c>
      <c r="D125" s="8">
        <v>45691</v>
      </c>
      <c r="E125" s="11">
        <v>7000000</v>
      </c>
    </row>
    <row r="126" spans="1:5" x14ac:dyDescent="0.3">
      <c r="A126" s="13" t="s">
        <v>35</v>
      </c>
      <c r="B126" s="4" t="s">
        <v>135</v>
      </c>
      <c r="C126" s="4" t="s">
        <v>235</v>
      </c>
      <c r="D126" s="8">
        <v>45691</v>
      </c>
      <c r="E126" s="11">
        <v>500000</v>
      </c>
    </row>
    <row r="127" spans="1:5" x14ac:dyDescent="0.3">
      <c r="A127" s="13" t="s">
        <v>31</v>
      </c>
      <c r="B127" s="4" t="s">
        <v>131</v>
      </c>
      <c r="C127" s="4" t="s">
        <v>231</v>
      </c>
      <c r="D127" s="8">
        <v>45691</v>
      </c>
      <c r="E127" s="11">
        <v>3000000</v>
      </c>
    </row>
    <row r="128" spans="1:5" x14ac:dyDescent="0.3">
      <c r="A128" s="13" t="s">
        <v>88</v>
      </c>
      <c r="B128" s="4" t="s">
        <v>188</v>
      </c>
      <c r="C128" s="4" t="s">
        <v>288</v>
      </c>
      <c r="D128" s="8">
        <v>45691</v>
      </c>
      <c r="E128" s="11">
        <v>20000000</v>
      </c>
    </row>
    <row r="129" spans="1:5" x14ac:dyDescent="0.3">
      <c r="A129" s="13" t="s">
        <v>101</v>
      </c>
      <c r="B129" s="4" t="s">
        <v>201</v>
      </c>
      <c r="C129" s="4" t="s">
        <v>301</v>
      </c>
      <c r="D129" s="8">
        <v>45692</v>
      </c>
      <c r="E129" s="11">
        <v>500000</v>
      </c>
    </row>
    <row r="130" spans="1:5" x14ac:dyDescent="0.3">
      <c r="A130" s="13" t="s">
        <v>31</v>
      </c>
      <c r="B130" s="4" t="s">
        <v>131</v>
      </c>
      <c r="C130" s="4" t="s">
        <v>231</v>
      </c>
      <c r="D130" s="8">
        <v>45692</v>
      </c>
      <c r="E130" s="11">
        <v>200000</v>
      </c>
    </row>
    <row r="131" spans="1:5" x14ac:dyDescent="0.3">
      <c r="A131" s="13" t="s">
        <v>97</v>
      </c>
      <c r="B131" s="4" t="s">
        <v>197</v>
      </c>
      <c r="C131" s="4" t="s">
        <v>297</v>
      </c>
      <c r="D131" s="8">
        <v>45692</v>
      </c>
      <c r="E131" s="11">
        <v>20000000</v>
      </c>
    </row>
    <row r="132" spans="1:5" x14ac:dyDescent="0.3">
      <c r="A132" s="13" t="s">
        <v>17</v>
      </c>
      <c r="B132" s="4" t="s">
        <v>117</v>
      </c>
      <c r="C132" s="4" t="s">
        <v>217</v>
      </c>
      <c r="D132" s="8">
        <v>45692</v>
      </c>
      <c r="E132" s="11">
        <v>100000</v>
      </c>
    </row>
    <row r="133" spans="1:5" x14ac:dyDescent="0.3">
      <c r="A133" s="13" t="s">
        <v>76</v>
      </c>
      <c r="B133" s="4" t="s">
        <v>176</v>
      </c>
      <c r="C133" s="4" t="s">
        <v>276</v>
      </c>
      <c r="D133" s="8">
        <v>45692</v>
      </c>
      <c r="E133" s="11">
        <v>150000</v>
      </c>
    </row>
    <row r="134" spans="1:5" x14ac:dyDescent="0.3">
      <c r="A134" s="13" t="s">
        <v>26</v>
      </c>
      <c r="B134" s="4" t="s">
        <v>126</v>
      </c>
      <c r="C134" s="4" t="s">
        <v>226</v>
      </c>
      <c r="D134" s="8">
        <v>45693</v>
      </c>
      <c r="E134" s="11">
        <v>250000</v>
      </c>
    </row>
    <row r="135" spans="1:5" x14ac:dyDescent="0.3">
      <c r="A135" s="13" t="s">
        <v>48</v>
      </c>
      <c r="B135" s="4" t="s">
        <v>148</v>
      </c>
      <c r="C135" s="4" t="s">
        <v>248</v>
      </c>
      <c r="D135" s="8">
        <v>45694</v>
      </c>
      <c r="E135" s="11">
        <v>500000</v>
      </c>
    </row>
    <row r="136" spans="1:5" x14ac:dyDescent="0.3">
      <c r="A136" s="13" t="s">
        <v>88</v>
      </c>
      <c r="B136" s="4" t="s">
        <v>188</v>
      </c>
      <c r="C136" s="4" t="s">
        <v>288</v>
      </c>
      <c r="D136" s="8">
        <v>45694</v>
      </c>
      <c r="E136" s="11">
        <v>200000</v>
      </c>
    </row>
    <row r="137" spans="1:5" x14ac:dyDescent="0.3">
      <c r="A137" s="13" t="s">
        <v>34</v>
      </c>
      <c r="B137" s="4" t="s">
        <v>134</v>
      </c>
      <c r="C137" s="4" t="s">
        <v>234</v>
      </c>
      <c r="D137" s="8">
        <v>45695</v>
      </c>
      <c r="E137" s="11">
        <v>250000</v>
      </c>
    </row>
    <row r="138" spans="1:5" x14ac:dyDescent="0.3">
      <c r="A138" s="13" t="s">
        <v>94</v>
      </c>
      <c r="B138" s="4" t="s">
        <v>194</v>
      </c>
      <c r="C138" s="4" t="s">
        <v>294</v>
      </c>
      <c r="D138" s="8">
        <v>45695</v>
      </c>
      <c r="E138" s="11">
        <v>2000000</v>
      </c>
    </row>
    <row r="139" spans="1:5" x14ac:dyDescent="0.3">
      <c r="A139" s="13" t="s">
        <v>11</v>
      </c>
      <c r="B139" s="4" t="s">
        <v>111</v>
      </c>
      <c r="C139" s="4" t="s">
        <v>211</v>
      </c>
      <c r="D139" s="8">
        <v>45696</v>
      </c>
      <c r="E139" s="11">
        <v>10000000</v>
      </c>
    </row>
    <row r="140" spans="1:5" x14ac:dyDescent="0.3">
      <c r="A140" s="13" t="s">
        <v>92</v>
      </c>
      <c r="B140" s="4" t="s">
        <v>192</v>
      </c>
      <c r="C140" s="4" t="s">
        <v>292</v>
      </c>
      <c r="D140" s="8">
        <v>45696</v>
      </c>
      <c r="E140" s="11">
        <v>100000</v>
      </c>
    </row>
    <row r="141" spans="1:5" x14ac:dyDescent="0.3">
      <c r="A141" s="13" t="s">
        <v>79</v>
      </c>
      <c r="B141" s="4" t="s">
        <v>179</v>
      </c>
      <c r="C141" s="4" t="s">
        <v>279</v>
      </c>
      <c r="D141" s="8">
        <v>45696</v>
      </c>
      <c r="E141" s="11">
        <v>50000</v>
      </c>
    </row>
    <row r="142" spans="1:5" x14ac:dyDescent="0.3">
      <c r="A142" s="13" t="s">
        <v>30</v>
      </c>
      <c r="B142" s="4" t="s">
        <v>130</v>
      </c>
      <c r="C142" s="4" t="s">
        <v>230</v>
      </c>
      <c r="D142" s="8">
        <v>45696</v>
      </c>
      <c r="E142" s="11">
        <v>20000000</v>
      </c>
    </row>
    <row r="143" spans="1:5" x14ac:dyDescent="0.3">
      <c r="A143" s="13" t="s">
        <v>104</v>
      </c>
      <c r="B143" s="4" t="s">
        <v>204</v>
      </c>
      <c r="C143" s="4" t="s">
        <v>304</v>
      </c>
      <c r="D143" s="8">
        <v>45696</v>
      </c>
      <c r="E143" s="11">
        <v>2000000</v>
      </c>
    </row>
    <row r="144" spans="1:5" x14ac:dyDescent="0.3">
      <c r="A144" s="13" t="s">
        <v>26</v>
      </c>
      <c r="B144" s="4" t="s">
        <v>126</v>
      </c>
      <c r="C144" s="4" t="s">
        <v>226</v>
      </c>
      <c r="D144" s="8">
        <v>45696</v>
      </c>
      <c r="E144" s="11">
        <v>150000</v>
      </c>
    </row>
    <row r="145" spans="1:5" x14ac:dyDescent="0.3">
      <c r="A145" s="13" t="s">
        <v>20</v>
      </c>
      <c r="B145" s="4" t="s">
        <v>120</v>
      </c>
      <c r="C145" s="4" t="s">
        <v>220</v>
      </c>
      <c r="D145" s="8">
        <v>45697</v>
      </c>
      <c r="E145" s="11">
        <v>50000</v>
      </c>
    </row>
    <row r="146" spans="1:5" x14ac:dyDescent="0.3">
      <c r="A146" s="13" t="s">
        <v>64</v>
      </c>
      <c r="B146" s="4" t="s">
        <v>164</v>
      </c>
      <c r="C146" s="4" t="s">
        <v>264</v>
      </c>
      <c r="D146" s="8">
        <v>45697</v>
      </c>
      <c r="E146" s="11">
        <v>50000</v>
      </c>
    </row>
    <row r="147" spans="1:5" x14ac:dyDescent="0.3">
      <c r="A147" s="13" t="s">
        <v>87</v>
      </c>
      <c r="B147" s="4" t="s">
        <v>187</v>
      </c>
      <c r="C147" s="4" t="s">
        <v>287</v>
      </c>
      <c r="D147" s="8">
        <v>45698</v>
      </c>
      <c r="E147" s="11">
        <v>5000000</v>
      </c>
    </row>
    <row r="148" spans="1:5" x14ac:dyDescent="0.3">
      <c r="A148" s="13" t="s">
        <v>88</v>
      </c>
      <c r="B148" s="4" t="s">
        <v>188</v>
      </c>
      <c r="C148" s="4" t="s">
        <v>288</v>
      </c>
      <c r="D148" s="8">
        <v>45698</v>
      </c>
      <c r="E148" s="11">
        <v>7000000</v>
      </c>
    </row>
    <row r="149" spans="1:5" x14ac:dyDescent="0.3">
      <c r="A149" s="13" t="s">
        <v>42</v>
      </c>
      <c r="B149" s="4" t="s">
        <v>142</v>
      </c>
      <c r="C149" s="4" t="s">
        <v>242</v>
      </c>
      <c r="D149" s="8">
        <v>45698</v>
      </c>
      <c r="E149" s="11">
        <v>150000</v>
      </c>
    </row>
    <row r="150" spans="1:5" x14ac:dyDescent="0.3">
      <c r="A150" s="13" t="s">
        <v>36</v>
      </c>
      <c r="B150" s="4" t="s">
        <v>136</v>
      </c>
      <c r="C150" s="4" t="s">
        <v>236</v>
      </c>
      <c r="D150" s="8">
        <v>45698</v>
      </c>
      <c r="E150" s="11">
        <v>150000</v>
      </c>
    </row>
    <row r="151" spans="1:5" x14ac:dyDescent="0.3">
      <c r="A151" s="13" t="s">
        <v>93</v>
      </c>
      <c r="B151" s="4" t="s">
        <v>193</v>
      </c>
      <c r="C151" s="4" t="s">
        <v>293</v>
      </c>
      <c r="D151" s="8">
        <v>45699</v>
      </c>
      <c r="E151" s="11">
        <v>3000000</v>
      </c>
    </row>
    <row r="152" spans="1:5" x14ac:dyDescent="0.3">
      <c r="A152" s="13" t="s">
        <v>15</v>
      </c>
      <c r="B152" s="4" t="s">
        <v>115</v>
      </c>
      <c r="C152" s="4" t="s">
        <v>215</v>
      </c>
      <c r="D152" s="8">
        <v>45699</v>
      </c>
      <c r="E152" s="11">
        <v>10000000</v>
      </c>
    </row>
    <row r="153" spans="1:5" x14ac:dyDescent="0.3">
      <c r="A153" s="13" t="s">
        <v>73</v>
      </c>
      <c r="B153" s="4" t="s">
        <v>173</v>
      </c>
      <c r="C153" s="4" t="s">
        <v>273</v>
      </c>
      <c r="D153" s="8">
        <v>45699</v>
      </c>
      <c r="E153" s="11">
        <v>20000000</v>
      </c>
    </row>
    <row r="154" spans="1:5" x14ac:dyDescent="0.3">
      <c r="A154" s="13" t="s">
        <v>98</v>
      </c>
      <c r="B154" s="4" t="s">
        <v>198</v>
      </c>
      <c r="C154" s="4" t="s">
        <v>298</v>
      </c>
      <c r="D154" s="8">
        <v>45699</v>
      </c>
      <c r="E154" s="11">
        <v>5000000</v>
      </c>
    </row>
    <row r="155" spans="1:5" x14ac:dyDescent="0.3">
      <c r="A155" s="13" t="s">
        <v>30</v>
      </c>
      <c r="B155" s="4" t="s">
        <v>130</v>
      </c>
      <c r="C155" s="4" t="s">
        <v>230</v>
      </c>
      <c r="D155" s="8">
        <v>45700</v>
      </c>
      <c r="E155" s="11">
        <v>10000000</v>
      </c>
    </row>
    <row r="156" spans="1:5" x14ac:dyDescent="0.3">
      <c r="A156" s="13" t="s">
        <v>38</v>
      </c>
      <c r="B156" s="4" t="s">
        <v>138</v>
      </c>
      <c r="C156" s="4" t="s">
        <v>238</v>
      </c>
      <c r="D156" s="8">
        <v>45700</v>
      </c>
      <c r="E156" s="11">
        <v>100000</v>
      </c>
    </row>
    <row r="157" spans="1:5" x14ac:dyDescent="0.3">
      <c r="A157" s="13" t="s">
        <v>60</v>
      </c>
      <c r="B157" s="4" t="s">
        <v>160</v>
      </c>
      <c r="C157" s="4" t="s">
        <v>260</v>
      </c>
      <c r="D157" s="8">
        <v>45700</v>
      </c>
      <c r="E157" s="11">
        <v>200000</v>
      </c>
    </row>
    <row r="158" spans="1:5" x14ac:dyDescent="0.3">
      <c r="A158" s="13" t="s">
        <v>74</v>
      </c>
      <c r="B158" s="4" t="s">
        <v>174</v>
      </c>
      <c r="C158" s="4" t="s">
        <v>274</v>
      </c>
      <c r="D158" s="8">
        <v>45700</v>
      </c>
      <c r="E158" s="11">
        <v>10000000</v>
      </c>
    </row>
    <row r="159" spans="1:5" x14ac:dyDescent="0.3">
      <c r="A159" s="13" t="s">
        <v>17</v>
      </c>
      <c r="B159" s="4" t="s">
        <v>117</v>
      </c>
      <c r="C159" s="4" t="s">
        <v>217</v>
      </c>
      <c r="D159" s="8">
        <v>45700</v>
      </c>
      <c r="E159" s="11">
        <v>7000000</v>
      </c>
    </row>
    <row r="160" spans="1:5" x14ac:dyDescent="0.3">
      <c r="A160" s="13" t="s">
        <v>35</v>
      </c>
      <c r="B160" s="4" t="s">
        <v>135</v>
      </c>
      <c r="C160" s="4" t="s">
        <v>235</v>
      </c>
      <c r="D160" s="8">
        <v>45700</v>
      </c>
      <c r="E160" s="11">
        <v>250000</v>
      </c>
    </row>
    <row r="161" spans="1:5" x14ac:dyDescent="0.3">
      <c r="A161" s="13" t="s">
        <v>8</v>
      </c>
      <c r="B161" s="4" t="s">
        <v>108</v>
      </c>
      <c r="C161" s="4" t="s">
        <v>208</v>
      </c>
      <c r="D161" s="8">
        <v>45701</v>
      </c>
      <c r="E161" s="11">
        <v>150000</v>
      </c>
    </row>
    <row r="162" spans="1:5" x14ac:dyDescent="0.3">
      <c r="A162" s="13" t="s">
        <v>52</v>
      </c>
      <c r="B162" s="4" t="s">
        <v>152</v>
      </c>
      <c r="C162" s="4" t="s">
        <v>252</v>
      </c>
      <c r="D162" s="8">
        <v>45701</v>
      </c>
      <c r="E162" s="11">
        <v>7000000</v>
      </c>
    </row>
    <row r="163" spans="1:5" x14ac:dyDescent="0.3">
      <c r="A163" s="13" t="s">
        <v>22</v>
      </c>
      <c r="B163" s="4" t="s">
        <v>122</v>
      </c>
      <c r="C163" s="4" t="s">
        <v>222</v>
      </c>
      <c r="D163" s="8">
        <v>45701</v>
      </c>
      <c r="E163" s="11">
        <v>10000000</v>
      </c>
    </row>
    <row r="164" spans="1:5" x14ac:dyDescent="0.3">
      <c r="A164" s="13" t="s">
        <v>29</v>
      </c>
      <c r="B164" s="4" t="s">
        <v>129</v>
      </c>
      <c r="C164" s="4" t="s">
        <v>229</v>
      </c>
      <c r="D164" s="8">
        <v>45702</v>
      </c>
      <c r="E164" s="11">
        <v>10000000</v>
      </c>
    </row>
    <row r="165" spans="1:5" x14ac:dyDescent="0.3">
      <c r="A165" s="13" t="s">
        <v>82</v>
      </c>
      <c r="B165" s="4" t="s">
        <v>182</v>
      </c>
      <c r="C165" s="4" t="s">
        <v>282</v>
      </c>
      <c r="D165" s="8">
        <v>45702</v>
      </c>
      <c r="E165" s="11">
        <v>250000</v>
      </c>
    </row>
    <row r="166" spans="1:5" x14ac:dyDescent="0.3">
      <c r="A166" s="13" t="s">
        <v>96</v>
      </c>
      <c r="B166" s="4" t="s">
        <v>196</v>
      </c>
      <c r="C166" s="4" t="s">
        <v>296</v>
      </c>
      <c r="D166" s="8">
        <v>45702</v>
      </c>
      <c r="E166" s="11">
        <v>200000</v>
      </c>
    </row>
    <row r="167" spans="1:5" x14ac:dyDescent="0.3">
      <c r="A167" s="13" t="s">
        <v>47</v>
      </c>
      <c r="B167" s="4" t="s">
        <v>147</v>
      </c>
      <c r="C167" s="4" t="s">
        <v>247</v>
      </c>
      <c r="D167" s="8">
        <v>45702</v>
      </c>
      <c r="E167" s="11">
        <v>150000</v>
      </c>
    </row>
    <row r="168" spans="1:5" x14ac:dyDescent="0.3">
      <c r="A168" s="13" t="s">
        <v>56</v>
      </c>
      <c r="B168" s="4" t="s">
        <v>156</v>
      </c>
      <c r="C168" s="4" t="s">
        <v>256</v>
      </c>
      <c r="D168" s="8">
        <v>45702</v>
      </c>
      <c r="E168" s="11">
        <v>10000000</v>
      </c>
    </row>
    <row r="169" spans="1:5" x14ac:dyDescent="0.3">
      <c r="A169" s="13" t="s">
        <v>62</v>
      </c>
      <c r="B169" s="4" t="s">
        <v>162</v>
      </c>
      <c r="C169" s="4" t="s">
        <v>262</v>
      </c>
      <c r="D169" s="8">
        <v>45702</v>
      </c>
      <c r="E169" s="11">
        <v>200000</v>
      </c>
    </row>
    <row r="170" spans="1:5" x14ac:dyDescent="0.3">
      <c r="A170" s="13" t="s">
        <v>33</v>
      </c>
      <c r="B170" s="4" t="s">
        <v>133</v>
      </c>
      <c r="C170" s="4" t="s">
        <v>233</v>
      </c>
      <c r="D170" s="8">
        <v>45703</v>
      </c>
      <c r="E170" s="11">
        <v>500000</v>
      </c>
    </row>
    <row r="171" spans="1:5" x14ac:dyDescent="0.3">
      <c r="A171" s="13" t="s">
        <v>36</v>
      </c>
      <c r="B171" s="4" t="s">
        <v>136</v>
      </c>
      <c r="C171" s="4" t="s">
        <v>236</v>
      </c>
      <c r="D171" s="8">
        <v>45704</v>
      </c>
      <c r="E171" s="11">
        <v>200000</v>
      </c>
    </row>
    <row r="172" spans="1:5" x14ac:dyDescent="0.3">
      <c r="A172" s="13" t="s">
        <v>27</v>
      </c>
      <c r="B172" s="4" t="s">
        <v>127</v>
      </c>
      <c r="C172" s="4" t="s">
        <v>227</v>
      </c>
      <c r="D172" s="8">
        <v>45705</v>
      </c>
      <c r="E172" s="11">
        <v>100000</v>
      </c>
    </row>
    <row r="173" spans="1:5" x14ac:dyDescent="0.3">
      <c r="A173" s="13" t="s">
        <v>14</v>
      </c>
      <c r="B173" s="4" t="s">
        <v>114</v>
      </c>
      <c r="C173" s="4" t="s">
        <v>214</v>
      </c>
      <c r="D173" s="8">
        <v>45705</v>
      </c>
      <c r="E173" s="11">
        <v>10000000</v>
      </c>
    </row>
    <row r="174" spans="1:5" x14ac:dyDescent="0.3">
      <c r="A174" s="13" t="s">
        <v>77</v>
      </c>
      <c r="B174" s="4" t="s">
        <v>177</v>
      </c>
      <c r="C174" s="4" t="s">
        <v>277</v>
      </c>
      <c r="D174" s="8">
        <v>45705</v>
      </c>
      <c r="E174" s="11">
        <v>250000</v>
      </c>
    </row>
    <row r="175" spans="1:5" x14ac:dyDescent="0.3">
      <c r="A175" s="13" t="s">
        <v>28</v>
      </c>
      <c r="B175" s="4" t="s">
        <v>128</v>
      </c>
      <c r="C175" s="4" t="s">
        <v>228</v>
      </c>
      <c r="D175" s="8">
        <v>45705</v>
      </c>
      <c r="E175" s="11">
        <v>2000000</v>
      </c>
    </row>
    <row r="176" spans="1:5" x14ac:dyDescent="0.3">
      <c r="A176" s="13" t="s">
        <v>65</v>
      </c>
      <c r="B176" s="4" t="s">
        <v>165</v>
      </c>
      <c r="C176" s="4" t="s">
        <v>265</v>
      </c>
      <c r="D176" s="8">
        <v>45706</v>
      </c>
      <c r="E176" s="11">
        <v>500000</v>
      </c>
    </row>
    <row r="177" spans="1:5" x14ac:dyDescent="0.3">
      <c r="A177" s="13" t="s">
        <v>16</v>
      </c>
      <c r="B177" s="4" t="s">
        <v>116</v>
      </c>
      <c r="C177" s="4" t="s">
        <v>216</v>
      </c>
      <c r="D177" s="8">
        <v>45706</v>
      </c>
      <c r="E177" s="11">
        <v>100000</v>
      </c>
    </row>
    <row r="178" spans="1:5" x14ac:dyDescent="0.3">
      <c r="A178" s="13" t="s">
        <v>60</v>
      </c>
      <c r="B178" s="4" t="s">
        <v>160</v>
      </c>
      <c r="C178" s="4" t="s">
        <v>260</v>
      </c>
      <c r="D178" s="8">
        <v>45706</v>
      </c>
      <c r="E178" s="11">
        <v>150000</v>
      </c>
    </row>
    <row r="179" spans="1:5" x14ac:dyDescent="0.3">
      <c r="A179" s="13" t="s">
        <v>91</v>
      </c>
      <c r="B179" s="4" t="s">
        <v>191</v>
      </c>
      <c r="C179" s="4" t="s">
        <v>291</v>
      </c>
      <c r="D179" s="8">
        <v>45706</v>
      </c>
      <c r="E179" s="11">
        <v>100000</v>
      </c>
    </row>
    <row r="180" spans="1:5" x14ac:dyDescent="0.3">
      <c r="A180" s="13" t="s">
        <v>64</v>
      </c>
      <c r="B180" s="4" t="s">
        <v>164</v>
      </c>
      <c r="C180" s="4" t="s">
        <v>264</v>
      </c>
      <c r="D180" s="8">
        <v>45706</v>
      </c>
      <c r="E180" s="11">
        <v>50000</v>
      </c>
    </row>
    <row r="181" spans="1:5" x14ac:dyDescent="0.3">
      <c r="A181" s="13" t="s">
        <v>103</v>
      </c>
      <c r="B181" s="4" t="s">
        <v>203</v>
      </c>
      <c r="C181" s="4" t="s">
        <v>303</v>
      </c>
      <c r="D181" s="8">
        <v>45706</v>
      </c>
      <c r="E181" s="11">
        <v>5000000</v>
      </c>
    </row>
    <row r="182" spans="1:5" x14ac:dyDescent="0.3">
      <c r="A182" s="13" t="s">
        <v>36</v>
      </c>
      <c r="B182" s="4" t="s">
        <v>136</v>
      </c>
      <c r="C182" s="4" t="s">
        <v>236</v>
      </c>
      <c r="D182" s="8">
        <v>45706</v>
      </c>
      <c r="E182" s="11">
        <v>2000000</v>
      </c>
    </row>
    <row r="183" spans="1:5" x14ac:dyDescent="0.3">
      <c r="A183" s="13" t="s">
        <v>14</v>
      </c>
      <c r="B183" s="4" t="s">
        <v>114</v>
      </c>
      <c r="C183" s="4" t="s">
        <v>214</v>
      </c>
      <c r="D183" s="8">
        <v>45706</v>
      </c>
      <c r="E183" s="11">
        <v>150000</v>
      </c>
    </row>
    <row r="184" spans="1:5" x14ac:dyDescent="0.3">
      <c r="A184" s="13" t="s">
        <v>21</v>
      </c>
      <c r="B184" s="4" t="s">
        <v>121</v>
      </c>
      <c r="C184" s="4" t="s">
        <v>221</v>
      </c>
      <c r="D184" s="8">
        <v>45707</v>
      </c>
      <c r="E184" s="11">
        <v>1000000</v>
      </c>
    </row>
    <row r="185" spans="1:5" x14ac:dyDescent="0.3">
      <c r="A185" s="13" t="s">
        <v>30</v>
      </c>
      <c r="B185" s="4" t="s">
        <v>130</v>
      </c>
      <c r="C185" s="4" t="s">
        <v>230</v>
      </c>
      <c r="D185" s="8">
        <v>45707</v>
      </c>
      <c r="E185" s="11">
        <v>7000000</v>
      </c>
    </row>
    <row r="186" spans="1:5" x14ac:dyDescent="0.3">
      <c r="A186" s="13" t="s">
        <v>75</v>
      </c>
      <c r="B186" s="4" t="s">
        <v>175</v>
      </c>
      <c r="C186" s="4" t="s">
        <v>275</v>
      </c>
      <c r="D186" s="8">
        <v>45707</v>
      </c>
      <c r="E186" s="11">
        <v>10000000</v>
      </c>
    </row>
    <row r="187" spans="1:5" x14ac:dyDescent="0.3">
      <c r="A187" s="13" t="s">
        <v>17</v>
      </c>
      <c r="B187" s="4" t="s">
        <v>117</v>
      </c>
      <c r="C187" s="4" t="s">
        <v>217</v>
      </c>
      <c r="D187" s="8">
        <v>45707</v>
      </c>
      <c r="E187" s="11">
        <v>20000000</v>
      </c>
    </row>
    <row r="188" spans="1:5" x14ac:dyDescent="0.3">
      <c r="A188" s="13" t="s">
        <v>15</v>
      </c>
      <c r="B188" s="4" t="s">
        <v>115</v>
      </c>
      <c r="C188" s="4" t="s">
        <v>215</v>
      </c>
      <c r="D188" s="8">
        <v>45707</v>
      </c>
      <c r="E188" s="11">
        <v>50000</v>
      </c>
    </row>
    <row r="189" spans="1:5" x14ac:dyDescent="0.3">
      <c r="A189" s="13" t="s">
        <v>35</v>
      </c>
      <c r="B189" s="4" t="s">
        <v>135</v>
      </c>
      <c r="C189" s="4" t="s">
        <v>235</v>
      </c>
      <c r="D189" s="8">
        <v>45707</v>
      </c>
      <c r="E189" s="11">
        <v>150000</v>
      </c>
    </row>
    <row r="190" spans="1:5" x14ac:dyDescent="0.3">
      <c r="A190" s="13" t="s">
        <v>20</v>
      </c>
      <c r="B190" s="4" t="s">
        <v>120</v>
      </c>
      <c r="C190" s="4" t="s">
        <v>220</v>
      </c>
      <c r="D190" s="8">
        <v>45707</v>
      </c>
      <c r="E190" s="11">
        <v>7000000</v>
      </c>
    </row>
    <row r="191" spans="1:5" x14ac:dyDescent="0.3">
      <c r="A191" s="13" t="s">
        <v>12</v>
      </c>
      <c r="B191" s="4" t="s">
        <v>112</v>
      </c>
      <c r="C191" s="4" t="s">
        <v>212</v>
      </c>
      <c r="D191" s="8">
        <v>45708</v>
      </c>
      <c r="E191" s="11">
        <v>5000000</v>
      </c>
    </row>
    <row r="192" spans="1:5" x14ac:dyDescent="0.3">
      <c r="A192" s="13" t="s">
        <v>43</v>
      </c>
      <c r="B192" s="4" t="s">
        <v>143</v>
      </c>
      <c r="C192" s="4" t="s">
        <v>243</v>
      </c>
      <c r="D192" s="8">
        <v>45708</v>
      </c>
      <c r="E192" s="11">
        <v>50000</v>
      </c>
    </row>
    <row r="193" spans="1:5" x14ac:dyDescent="0.3">
      <c r="A193" s="13" t="s">
        <v>9</v>
      </c>
      <c r="B193" s="4" t="s">
        <v>109</v>
      </c>
      <c r="C193" s="4" t="s">
        <v>209</v>
      </c>
      <c r="D193" s="8">
        <v>45708</v>
      </c>
      <c r="E193" s="11">
        <v>250000</v>
      </c>
    </row>
    <row r="194" spans="1:5" x14ac:dyDescent="0.3">
      <c r="A194" s="13" t="s">
        <v>59</v>
      </c>
      <c r="B194" s="4" t="s">
        <v>159</v>
      </c>
      <c r="C194" s="4" t="s">
        <v>259</v>
      </c>
      <c r="D194" s="8">
        <v>45708</v>
      </c>
      <c r="E194" s="11">
        <v>50000</v>
      </c>
    </row>
    <row r="195" spans="1:5" x14ac:dyDescent="0.3">
      <c r="A195" s="13" t="s">
        <v>22</v>
      </c>
      <c r="B195" s="4" t="s">
        <v>122</v>
      </c>
      <c r="C195" s="4" t="s">
        <v>222</v>
      </c>
      <c r="D195" s="8">
        <v>45709</v>
      </c>
      <c r="E195" s="11">
        <v>3000000</v>
      </c>
    </row>
    <row r="196" spans="1:5" x14ac:dyDescent="0.3">
      <c r="A196" s="13" t="s">
        <v>39</v>
      </c>
      <c r="B196" s="4" t="s">
        <v>139</v>
      </c>
      <c r="C196" s="4" t="s">
        <v>239</v>
      </c>
      <c r="D196" s="8">
        <v>45709</v>
      </c>
      <c r="E196" s="11">
        <v>5000000</v>
      </c>
    </row>
    <row r="197" spans="1:5" x14ac:dyDescent="0.3">
      <c r="A197" s="13" t="s">
        <v>29</v>
      </c>
      <c r="B197" s="4" t="s">
        <v>129</v>
      </c>
      <c r="C197" s="4" t="s">
        <v>229</v>
      </c>
      <c r="D197" s="8">
        <v>45709</v>
      </c>
      <c r="E197" s="11">
        <v>3000000</v>
      </c>
    </row>
    <row r="198" spans="1:5" x14ac:dyDescent="0.3">
      <c r="A198" s="13" t="s">
        <v>95</v>
      </c>
      <c r="B198" s="4" t="s">
        <v>195</v>
      </c>
      <c r="C198" s="4" t="s">
        <v>295</v>
      </c>
      <c r="D198" s="8">
        <v>45709</v>
      </c>
      <c r="E198" s="11">
        <v>150000</v>
      </c>
    </row>
    <row r="199" spans="1:5" x14ac:dyDescent="0.3">
      <c r="A199" s="13" t="s">
        <v>66</v>
      </c>
      <c r="B199" s="4" t="s">
        <v>166</v>
      </c>
      <c r="C199" s="4" t="s">
        <v>266</v>
      </c>
      <c r="D199" s="8">
        <v>45709</v>
      </c>
      <c r="E199" s="11">
        <v>250000</v>
      </c>
    </row>
    <row r="200" spans="1:5" x14ac:dyDescent="0.3">
      <c r="A200" s="13" t="s">
        <v>29</v>
      </c>
      <c r="B200" s="4" t="s">
        <v>129</v>
      </c>
      <c r="C200" s="4" t="s">
        <v>229</v>
      </c>
      <c r="D200" s="8">
        <v>45709</v>
      </c>
      <c r="E200" s="11">
        <v>3000000</v>
      </c>
    </row>
    <row r="201" spans="1:5" x14ac:dyDescent="0.3">
      <c r="A201" s="13" t="s">
        <v>83</v>
      </c>
      <c r="B201" s="4" t="s">
        <v>183</v>
      </c>
      <c r="C201" s="4" t="s">
        <v>283</v>
      </c>
      <c r="D201" s="8">
        <v>45710</v>
      </c>
      <c r="E201" s="11">
        <v>5000000</v>
      </c>
    </row>
    <row r="202" spans="1:5" x14ac:dyDescent="0.3">
      <c r="A202" s="13" t="s">
        <v>12</v>
      </c>
      <c r="B202" s="4" t="s">
        <v>112</v>
      </c>
      <c r="C202" s="4" t="s">
        <v>212</v>
      </c>
      <c r="D202" s="8">
        <v>45710</v>
      </c>
      <c r="E202" s="11">
        <v>150000</v>
      </c>
    </row>
    <row r="203" spans="1:5" x14ac:dyDescent="0.3">
      <c r="A203" s="13" t="s">
        <v>45</v>
      </c>
      <c r="B203" s="4" t="s">
        <v>145</v>
      </c>
      <c r="C203" s="4" t="s">
        <v>245</v>
      </c>
      <c r="D203" s="8">
        <v>45710</v>
      </c>
      <c r="E203" s="11">
        <v>200000</v>
      </c>
    </row>
    <row r="204" spans="1:5" x14ac:dyDescent="0.3">
      <c r="A204" s="13" t="s">
        <v>61</v>
      </c>
      <c r="B204" s="4" t="s">
        <v>161</v>
      </c>
      <c r="C204" s="4" t="s">
        <v>261</v>
      </c>
      <c r="D204" s="8">
        <v>45711</v>
      </c>
      <c r="E204" s="11">
        <v>20000000</v>
      </c>
    </row>
    <row r="205" spans="1:5" x14ac:dyDescent="0.3">
      <c r="A205" s="13" t="s">
        <v>72</v>
      </c>
      <c r="B205" s="4" t="s">
        <v>172</v>
      </c>
      <c r="C205" s="4" t="s">
        <v>272</v>
      </c>
      <c r="D205" s="8">
        <v>45711</v>
      </c>
      <c r="E205" s="11">
        <v>1000000</v>
      </c>
    </row>
    <row r="206" spans="1:5" x14ac:dyDescent="0.3">
      <c r="A206" s="13" t="s">
        <v>32</v>
      </c>
      <c r="B206" s="4" t="s">
        <v>132</v>
      </c>
      <c r="C206" s="4" t="s">
        <v>232</v>
      </c>
      <c r="D206" s="8">
        <v>45712</v>
      </c>
      <c r="E206" s="11">
        <v>10000000</v>
      </c>
    </row>
    <row r="207" spans="1:5" x14ac:dyDescent="0.3">
      <c r="A207" s="13" t="s">
        <v>40</v>
      </c>
      <c r="B207" s="4" t="s">
        <v>140</v>
      </c>
      <c r="C207" s="4" t="s">
        <v>240</v>
      </c>
      <c r="D207" s="8">
        <v>45712</v>
      </c>
      <c r="E207" s="11">
        <v>7000000</v>
      </c>
    </row>
    <row r="208" spans="1:5" x14ac:dyDescent="0.3">
      <c r="A208" s="13" t="s">
        <v>56</v>
      </c>
      <c r="B208" s="4" t="s">
        <v>156</v>
      </c>
      <c r="C208" s="4" t="s">
        <v>256</v>
      </c>
      <c r="D208" s="8">
        <v>45712</v>
      </c>
      <c r="E208" s="11">
        <v>5000000</v>
      </c>
    </row>
    <row r="209" spans="1:5" x14ac:dyDescent="0.3">
      <c r="A209" s="13" t="s">
        <v>46</v>
      </c>
      <c r="B209" s="4" t="s">
        <v>146</v>
      </c>
      <c r="C209" s="4" t="s">
        <v>246</v>
      </c>
      <c r="D209" s="8">
        <v>45712</v>
      </c>
      <c r="E209" s="11">
        <v>1000000</v>
      </c>
    </row>
    <row r="210" spans="1:5" x14ac:dyDescent="0.3">
      <c r="A210" s="13" t="s">
        <v>78</v>
      </c>
      <c r="B210" s="4" t="s">
        <v>178</v>
      </c>
      <c r="C210" s="4" t="s">
        <v>278</v>
      </c>
      <c r="D210" s="8">
        <v>45712</v>
      </c>
      <c r="E210" s="11">
        <v>2000000</v>
      </c>
    </row>
    <row r="211" spans="1:5" x14ac:dyDescent="0.3">
      <c r="A211" s="13" t="s">
        <v>34</v>
      </c>
      <c r="B211" s="4" t="s">
        <v>134</v>
      </c>
      <c r="C211" s="4" t="s">
        <v>234</v>
      </c>
      <c r="D211" s="8">
        <v>45712</v>
      </c>
      <c r="E211" s="11">
        <v>50000</v>
      </c>
    </row>
    <row r="212" spans="1:5" x14ac:dyDescent="0.3">
      <c r="A212" s="13" t="s">
        <v>104</v>
      </c>
      <c r="B212" s="4" t="s">
        <v>204</v>
      </c>
      <c r="C212" s="4" t="s">
        <v>304</v>
      </c>
      <c r="D212" s="8">
        <v>45712</v>
      </c>
      <c r="E212" s="11">
        <v>500000</v>
      </c>
    </row>
    <row r="213" spans="1:5" x14ac:dyDescent="0.3">
      <c r="A213" s="13" t="s">
        <v>71</v>
      </c>
      <c r="B213" s="4" t="s">
        <v>171</v>
      </c>
      <c r="C213" s="4" t="s">
        <v>271</v>
      </c>
      <c r="D213" s="8">
        <v>45712</v>
      </c>
      <c r="E213" s="11">
        <v>5000000</v>
      </c>
    </row>
    <row r="214" spans="1:5" x14ac:dyDescent="0.3">
      <c r="A214" s="13" t="s">
        <v>20</v>
      </c>
      <c r="B214" s="4" t="s">
        <v>120</v>
      </c>
      <c r="C214" s="4" t="s">
        <v>220</v>
      </c>
      <c r="D214" s="8">
        <v>45713</v>
      </c>
      <c r="E214" s="11">
        <v>50000</v>
      </c>
    </row>
    <row r="215" spans="1:5" x14ac:dyDescent="0.3">
      <c r="A215" s="13" t="s">
        <v>102</v>
      </c>
      <c r="B215" s="4" t="s">
        <v>202</v>
      </c>
      <c r="C215" s="4" t="s">
        <v>302</v>
      </c>
      <c r="D215" s="8">
        <v>45713</v>
      </c>
      <c r="E215" s="11">
        <v>20000000</v>
      </c>
    </row>
    <row r="216" spans="1:5" x14ac:dyDescent="0.3">
      <c r="A216" s="13" t="s">
        <v>27</v>
      </c>
      <c r="B216" s="4" t="s">
        <v>127</v>
      </c>
      <c r="C216" s="4" t="s">
        <v>227</v>
      </c>
      <c r="D216" s="8">
        <v>45714</v>
      </c>
      <c r="E216" s="11">
        <v>1000000</v>
      </c>
    </row>
    <row r="217" spans="1:5" x14ac:dyDescent="0.3">
      <c r="A217" s="13" t="s">
        <v>22</v>
      </c>
      <c r="B217" s="4" t="s">
        <v>122</v>
      </c>
      <c r="C217" s="4" t="s">
        <v>222</v>
      </c>
      <c r="D217" s="8">
        <v>45714</v>
      </c>
      <c r="E217" s="11">
        <v>20000000</v>
      </c>
    </row>
    <row r="218" spans="1:5" x14ac:dyDescent="0.3">
      <c r="A218" s="13" t="s">
        <v>79</v>
      </c>
      <c r="B218" s="4" t="s">
        <v>179</v>
      </c>
      <c r="C218" s="4" t="s">
        <v>279</v>
      </c>
      <c r="D218" s="8">
        <v>45714</v>
      </c>
      <c r="E218" s="11">
        <v>1000000</v>
      </c>
    </row>
    <row r="219" spans="1:5" x14ac:dyDescent="0.3">
      <c r="A219" s="13" t="s">
        <v>85</v>
      </c>
      <c r="B219" s="4" t="s">
        <v>185</v>
      </c>
      <c r="C219" s="4" t="s">
        <v>285</v>
      </c>
      <c r="D219" s="8">
        <v>45714</v>
      </c>
      <c r="E219" s="11">
        <v>150000</v>
      </c>
    </row>
    <row r="220" spans="1:5" x14ac:dyDescent="0.3">
      <c r="A220" s="13" t="s">
        <v>9</v>
      </c>
      <c r="B220" s="4" t="s">
        <v>109</v>
      </c>
      <c r="C220" s="4" t="s">
        <v>209</v>
      </c>
      <c r="D220" s="8">
        <v>45715</v>
      </c>
      <c r="E220" s="11">
        <v>500000</v>
      </c>
    </row>
    <row r="221" spans="1:5" x14ac:dyDescent="0.3">
      <c r="A221" s="13" t="s">
        <v>77</v>
      </c>
      <c r="B221" s="4" t="s">
        <v>177</v>
      </c>
      <c r="C221" s="4" t="s">
        <v>277</v>
      </c>
      <c r="D221" s="8">
        <v>45716</v>
      </c>
      <c r="E221" s="11">
        <v>50000</v>
      </c>
    </row>
    <row r="222" spans="1:5" x14ac:dyDescent="0.3">
      <c r="A222" s="13" t="s">
        <v>85</v>
      </c>
      <c r="B222" s="4" t="s">
        <v>185</v>
      </c>
      <c r="C222" s="4" t="s">
        <v>285</v>
      </c>
      <c r="D222" s="8">
        <v>45716</v>
      </c>
      <c r="E222" s="11">
        <v>150000</v>
      </c>
    </row>
    <row r="223" spans="1:5" x14ac:dyDescent="0.3">
      <c r="A223" s="13" t="s">
        <v>98</v>
      </c>
      <c r="B223" s="4" t="s">
        <v>198</v>
      </c>
      <c r="C223" s="4" t="s">
        <v>298</v>
      </c>
      <c r="D223" s="8">
        <v>45717</v>
      </c>
      <c r="E223" s="11">
        <v>1000000</v>
      </c>
    </row>
    <row r="224" spans="1:5" x14ac:dyDescent="0.3">
      <c r="A224" s="13" t="s">
        <v>17</v>
      </c>
      <c r="B224" s="4" t="s">
        <v>117</v>
      </c>
      <c r="C224" s="4" t="s">
        <v>217</v>
      </c>
      <c r="D224" s="8">
        <v>45717</v>
      </c>
      <c r="E224" s="11">
        <v>10000000</v>
      </c>
    </row>
    <row r="225" spans="1:5" x14ac:dyDescent="0.3">
      <c r="A225" s="13" t="s">
        <v>83</v>
      </c>
      <c r="B225" s="4" t="s">
        <v>183</v>
      </c>
      <c r="C225" s="4" t="s">
        <v>283</v>
      </c>
      <c r="D225" s="8">
        <v>45717</v>
      </c>
      <c r="E225" s="11">
        <v>200000</v>
      </c>
    </row>
    <row r="226" spans="1:5" x14ac:dyDescent="0.3">
      <c r="A226" s="13" t="s">
        <v>72</v>
      </c>
      <c r="B226" s="4" t="s">
        <v>172</v>
      </c>
      <c r="C226" s="4" t="s">
        <v>272</v>
      </c>
      <c r="D226" s="8">
        <v>45717</v>
      </c>
      <c r="E226" s="11">
        <v>20000000</v>
      </c>
    </row>
    <row r="227" spans="1:5" x14ac:dyDescent="0.3">
      <c r="A227" s="13" t="s">
        <v>17</v>
      </c>
      <c r="B227" s="4" t="s">
        <v>117</v>
      </c>
      <c r="C227" s="4" t="s">
        <v>217</v>
      </c>
      <c r="D227" s="8">
        <v>45717</v>
      </c>
      <c r="E227" s="11">
        <v>5000000</v>
      </c>
    </row>
    <row r="228" spans="1:5" x14ac:dyDescent="0.3">
      <c r="A228" s="13" t="s">
        <v>57</v>
      </c>
      <c r="B228" s="4" t="s">
        <v>157</v>
      </c>
      <c r="C228" s="4" t="s">
        <v>257</v>
      </c>
      <c r="D228" s="8">
        <v>45718</v>
      </c>
      <c r="E228" s="11">
        <v>5000000</v>
      </c>
    </row>
    <row r="229" spans="1:5" x14ac:dyDescent="0.3">
      <c r="A229" s="13" t="s">
        <v>47</v>
      </c>
      <c r="B229" s="4" t="s">
        <v>147</v>
      </c>
      <c r="C229" s="4" t="s">
        <v>247</v>
      </c>
      <c r="D229" s="8">
        <v>45718</v>
      </c>
      <c r="E229" s="11">
        <v>50000</v>
      </c>
    </row>
    <row r="230" spans="1:5" x14ac:dyDescent="0.3">
      <c r="A230" s="13" t="s">
        <v>73</v>
      </c>
      <c r="B230" s="4" t="s">
        <v>173</v>
      </c>
      <c r="C230" s="4" t="s">
        <v>273</v>
      </c>
      <c r="D230" s="8">
        <v>45718</v>
      </c>
      <c r="E230" s="11">
        <v>150000</v>
      </c>
    </row>
    <row r="231" spans="1:5" x14ac:dyDescent="0.3">
      <c r="A231" s="13" t="s">
        <v>32</v>
      </c>
      <c r="B231" s="4" t="s">
        <v>132</v>
      </c>
      <c r="C231" s="4" t="s">
        <v>232</v>
      </c>
      <c r="D231" s="8">
        <v>45718</v>
      </c>
      <c r="E231" s="11">
        <v>10000000</v>
      </c>
    </row>
    <row r="232" spans="1:5" x14ac:dyDescent="0.3">
      <c r="A232" s="13" t="s">
        <v>36</v>
      </c>
      <c r="B232" s="4" t="s">
        <v>136</v>
      </c>
      <c r="C232" s="4" t="s">
        <v>236</v>
      </c>
      <c r="D232" s="8">
        <v>45718</v>
      </c>
      <c r="E232" s="11">
        <v>10000000</v>
      </c>
    </row>
    <row r="233" spans="1:5" x14ac:dyDescent="0.3">
      <c r="A233" s="13" t="s">
        <v>49</v>
      </c>
      <c r="B233" s="4" t="s">
        <v>149</v>
      </c>
      <c r="C233" s="4" t="s">
        <v>249</v>
      </c>
      <c r="D233" s="8">
        <v>45719</v>
      </c>
      <c r="E233" s="11">
        <v>2000000</v>
      </c>
    </row>
    <row r="234" spans="1:5" x14ac:dyDescent="0.3">
      <c r="A234" s="13" t="s">
        <v>83</v>
      </c>
      <c r="B234" s="4" t="s">
        <v>183</v>
      </c>
      <c r="C234" s="4" t="s">
        <v>283</v>
      </c>
      <c r="D234" s="8">
        <v>45719</v>
      </c>
      <c r="E234" s="11">
        <v>200000</v>
      </c>
    </row>
    <row r="235" spans="1:5" x14ac:dyDescent="0.3">
      <c r="A235" s="13" t="s">
        <v>13</v>
      </c>
      <c r="B235" s="4" t="s">
        <v>113</v>
      </c>
      <c r="C235" s="4" t="s">
        <v>213</v>
      </c>
      <c r="D235" s="8">
        <v>45719</v>
      </c>
      <c r="E235" s="11">
        <v>50000</v>
      </c>
    </row>
    <row r="236" spans="1:5" x14ac:dyDescent="0.3">
      <c r="A236" s="13" t="s">
        <v>41</v>
      </c>
      <c r="B236" s="4" t="s">
        <v>141</v>
      </c>
      <c r="C236" s="4" t="s">
        <v>241</v>
      </c>
      <c r="D236" s="8">
        <v>45720</v>
      </c>
      <c r="E236" s="11">
        <v>5000000</v>
      </c>
    </row>
    <row r="237" spans="1:5" x14ac:dyDescent="0.3">
      <c r="A237" s="13" t="s">
        <v>30</v>
      </c>
      <c r="B237" s="4" t="s">
        <v>130</v>
      </c>
      <c r="C237" s="4" t="s">
        <v>230</v>
      </c>
      <c r="D237" s="8">
        <v>45720</v>
      </c>
      <c r="E237" s="11">
        <v>3000000</v>
      </c>
    </row>
    <row r="238" spans="1:5" x14ac:dyDescent="0.3">
      <c r="A238" s="13" t="s">
        <v>81</v>
      </c>
      <c r="B238" s="4" t="s">
        <v>181</v>
      </c>
      <c r="C238" s="4" t="s">
        <v>281</v>
      </c>
      <c r="D238" s="8">
        <v>45720</v>
      </c>
      <c r="E238" s="11">
        <v>7000000</v>
      </c>
    </row>
    <row r="239" spans="1:5" x14ac:dyDescent="0.3">
      <c r="A239" s="13" t="s">
        <v>80</v>
      </c>
      <c r="B239" s="4" t="s">
        <v>180</v>
      </c>
      <c r="C239" s="4" t="s">
        <v>280</v>
      </c>
      <c r="D239" s="8">
        <v>45720</v>
      </c>
      <c r="E239" s="11">
        <v>20000000</v>
      </c>
    </row>
    <row r="240" spans="1:5" x14ac:dyDescent="0.3">
      <c r="A240" s="13" t="s">
        <v>48</v>
      </c>
      <c r="B240" s="4" t="s">
        <v>148</v>
      </c>
      <c r="C240" s="4" t="s">
        <v>248</v>
      </c>
      <c r="D240" s="8">
        <v>45720</v>
      </c>
      <c r="E240" s="11">
        <v>5000000</v>
      </c>
    </row>
    <row r="241" spans="1:5" x14ac:dyDescent="0.3">
      <c r="A241" s="13" t="s">
        <v>95</v>
      </c>
      <c r="B241" s="4" t="s">
        <v>195</v>
      </c>
      <c r="C241" s="4" t="s">
        <v>295</v>
      </c>
      <c r="D241" s="8">
        <v>45720</v>
      </c>
      <c r="E241" s="11">
        <v>20000000</v>
      </c>
    </row>
    <row r="242" spans="1:5" x14ac:dyDescent="0.3">
      <c r="A242" s="13" t="s">
        <v>56</v>
      </c>
      <c r="B242" s="4" t="s">
        <v>156</v>
      </c>
      <c r="C242" s="4" t="s">
        <v>256</v>
      </c>
      <c r="D242" s="8">
        <v>45721</v>
      </c>
      <c r="E242" s="11">
        <v>5000000</v>
      </c>
    </row>
    <row r="243" spans="1:5" x14ac:dyDescent="0.3">
      <c r="A243" s="13" t="s">
        <v>74</v>
      </c>
      <c r="B243" s="4" t="s">
        <v>174</v>
      </c>
      <c r="C243" s="4" t="s">
        <v>274</v>
      </c>
      <c r="D243" s="8">
        <v>45722</v>
      </c>
      <c r="E243" s="11">
        <v>100000</v>
      </c>
    </row>
    <row r="244" spans="1:5" x14ac:dyDescent="0.3">
      <c r="A244" s="13" t="s">
        <v>23</v>
      </c>
      <c r="B244" s="4" t="s">
        <v>123</v>
      </c>
      <c r="C244" s="4" t="s">
        <v>223</v>
      </c>
      <c r="D244" s="8">
        <v>45722</v>
      </c>
      <c r="E244" s="11">
        <v>200000</v>
      </c>
    </row>
    <row r="245" spans="1:5" x14ac:dyDescent="0.3">
      <c r="A245" s="13" t="s">
        <v>22</v>
      </c>
      <c r="B245" s="4" t="s">
        <v>122</v>
      </c>
      <c r="C245" s="4" t="s">
        <v>222</v>
      </c>
      <c r="D245" s="8">
        <v>45722</v>
      </c>
      <c r="E245" s="11">
        <v>500000</v>
      </c>
    </row>
    <row r="246" spans="1:5" x14ac:dyDescent="0.3">
      <c r="A246" s="13" t="s">
        <v>54</v>
      </c>
      <c r="B246" s="4" t="s">
        <v>154</v>
      </c>
      <c r="C246" s="4" t="s">
        <v>254</v>
      </c>
      <c r="D246" s="8">
        <v>45722</v>
      </c>
      <c r="E246" s="11">
        <v>5000000</v>
      </c>
    </row>
    <row r="247" spans="1:5" x14ac:dyDescent="0.3">
      <c r="A247" s="13" t="s">
        <v>59</v>
      </c>
      <c r="B247" s="4" t="s">
        <v>159</v>
      </c>
      <c r="C247" s="4" t="s">
        <v>259</v>
      </c>
      <c r="D247" s="8">
        <v>45722</v>
      </c>
      <c r="E247" s="11">
        <v>1000000</v>
      </c>
    </row>
    <row r="248" spans="1:5" x14ac:dyDescent="0.3">
      <c r="A248" s="13" t="s">
        <v>24</v>
      </c>
      <c r="B248" s="4" t="s">
        <v>124</v>
      </c>
      <c r="C248" s="4" t="s">
        <v>224</v>
      </c>
      <c r="D248" s="8">
        <v>45723</v>
      </c>
      <c r="E248" s="11">
        <v>200000</v>
      </c>
    </row>
    <row r="249" spans="1:5" x14ac:dyDescent="0.3">
      <c r="A249" s="13" t="s">
        <v>18</v>
      </c>
      <c r="B249" s="4" t="s">
        <v>118</v>
      </c>
      <c r="C249" s="4" t="s">
        <v>218</v>
      </c>
      <c r="D249" s="8">
        <v>45724</v>
      </c>
      <c r="E249" s="11">
        <v>5000000</v>
      </c>
    </row>
    <row r="250" spans="1:5" x14ac:dyDescent="0.3">
      <c r="A250" s="13" t="s">
        <v>94</v>
      </c>
      <c r="B250" s="4" t="s">
        <v>194</v>
      </c>
      <c r="C250" s="4" t="s">
        <v>294</v>
      </c>
      <c r="D250" s="8">
        <v>45724</v>
      </c>
      <c r="E250" s="11">
        <v>50000</v>
      </c>
    </row>
    <row r="251" spans="1:5" x14ac:dyDescent="0.3">
      <c r="A251" s="13" t="s">
        <v>35</v>
      </c>
      <c r="B251" s="4" t="s">
        <v>135</v>
      </c>
      <c r="C251" s="4" t="s">
        <v>235</v>
      </c>
      <c r="D251" s="8">
        <v>45725</v>
      </c>
      <c r="E251" s="11">
        <v>7000000</v>
      </c>
    </row>
    <row r="252" spans="1:5" x14ac:dyDescent="0.3">
      <c r="A252" s="13" t="s">
        <v>32</v>
      </c>
      <c r="B252" s="4" t="s">
        <v>132</v>
      </c>
      <c r="C252" s="4" t="s">
        <v>232</v>
      </c>
      <c r="D252" s="8">
        <v>45725</v>
      </c>
      <c r="E252" s="11">
        <v>150000</v>
      </c>
    </row>
    <row r="253" spans="1:5" x14ac:dyDescent="0.3">
      <c r="A253" s="13" t="s">
        <v>44</v>
      </c>
      <c r="B253" s="4" t="s">
        <v>144</v>
      </c>
      <c r="C253" s="4" t="s">
        <v>244</v>
      </c>
      <c r="D253" s="8">
        <v>45725</v>
      </c>
      <c r="E253" s="11">
        <v>5000000</v>
      </c>
    </row>
    <row r="254" spans="1:5" x14ac:dyDescent="0.3">
      <c r="A254" s="13" t="s">
        <v>8</v>
      </c>
      <c r="B254" s="4" t="s">
        <v>108</v>
      </c>
      <c r="C254" s="4" t="s">
        <v>208</v>
      </c>
      <c r="D254" s="8">
        <v>45726</v>
      </c>
      <c r="E254" s="11">
        <v>250000</v>
      </c>
    </row>
    <row r="255" spans="1:5" x14ac:dyDescent="0.3">
      <c r="A255" s="13" t="s">
        <v>60</v>
      </c>
      <c r="B255" s="4" t="s">
        <v>160</v>
      </c>
      <c r="C255" s="4" t="s">
        <v>260</v>
      </c>
      <c r="D255" s="8">
        <v>45726</v>
      </c>
      <c r="E255" s="11">
        <v>200000</v>
      </c>
    </row>
    <row r="256" spans="1:5" x14ac:dyDescent="0.3">
      <c r="A256" s="13" t="s">
        <v>65</v>
      </c>
      <c r="B256" s="4" t="s">
        <v>165</v>
      </c>
      <c r="C256" s="4" t="s">
        <v>265</v>
      </c>
      <c r="D256" s="8">
        <v>45726</v>
      </c>
      <c r="E256" s="11">
        <v>7000000</v>
      </c>
    </row>
    <row r="257" spans="1:5" x14ac:dyDescent="0.3">
      <c r="A257" s="13" t="s">
        <v>20</v>
      </c>
      <c r="B257" s="4" t="s">
        <v>120</v>
      </c>
      <c r="C257" s="4" t="s">
        <v>220</v>
      </c>
      <c r="D257" s="8">
        <v>45726</v>
      </c>
      <c r="E257" s="11">
        <v>1000000</v>
      </c>
    </row>
    <row r="258" spans="1:5" x14ac:dyDescent="0.3">
      <c r="A258" s="13" t="s">
        <v>85</v>
      </c>
      <c r="B258" s="4" t="s">
        <v>185</v>
      </c>
      <c r="C258" s="4" t="s">
        <v>285</v>
      </c>
      <c r="D258" s="8">
        <v>45726</v>
      </c>
      <c r="E258" s="11">
        <v>1000000</v>
      </c>
    </row>
    <row r="259" spans="1:5" x14ac:dyDescent="0.3">
      <c r="A259" s="13" t="s">
        <v>69</v>
      </c>
      <c r="B259" s="4" t="s">
        <v>169</v>
      </c>
      <c r="C259" s="4" t="s">
        <v>269</v>
      </c>
      <c r="D259" s="8">
        <v>45727</v>
      </c>
      <c r="E259" s="11">
        <v>250000</v>
      </c>
    </row>
    <row r="260" spans="1:5" x14ac:dyDescent="0.3">
      <c r="A260" s="13" t="s">
        <v>62</v>
      </c>
      <c r="B260" s="4" t="s">
        <v>162</v>
      </c>
      <c r="C260" s="4" t="s">
        <v>262</v>
      </c>
      <c r="D260" s="8">
        <v>45727</v>
      </c>
      <c r="E260" s="11">
        <v>2000000</v>
      </c>
    </row>
    <row r="261" spans="1:5" x14ac:dyDescent="0.3">
      <c r="A261" s="13" t="s">
        <v>59</v>
      </c>
      <c r="B261" s="4" t="s">
        <v>159</v>
      </c>
      <c r="C261" s="4" t="s">
        <v>259</v>
      </c>
      <c r="D261" s="8">
        <v>45727</v>
      </c>
      <c r="E261" s="11">
        <v>250000</v>
      </c>
    </row>
    <row r="262" spans="1:5" x14ac:dyDescent="0.3">
      <c r="A262" s="13" t="s">
        <v>15</v>
      </c>
      <c r="B262" s="4" t="s">
        <v>115</v>
      </c>
      <c r="C262" s="4" t="s">
        <v>215</v>
      </c>
      <c r="D262" s="8">
        <v>45727</v>
      </c>
      <c r="E262" s="11">
        <v>5000000</v>
      </c>
    </row>
    <row r="263" spans="1:5" x14ac:dyDescent="0.3">
      <c r="A263" s="13" t="s">
        <v>27</v>
      </c>
      <c r="B263" s="4" t="s">
        <v>127</v>
      </c>
      <c r="C263" s="4" t="s">
        <v>227</v>
      </c>
      <c r="D263" s="8">
        <v>45728</v>
      </c>
      <c r="E263" s="11">
        <v>200000</v>
      </c>
    </row>
    <row r="264" spans="1:5" x14ac:dyDescent="0.3">
      <c r="A264" s="13" t="s">
        <v>70</v>
      </c>
      <c r="B264" s="4" t="s">
        <v>170</v>
      </c>
      <c r="C264" s="4" t="s">
        <v>270</v>
      </c>
      <c r="D264" s="8">
        <v>45728</v>
      </c>
      <c r="E264" s="11">
        <v>250000</v>
      </c>
    </row>
    <row r="265" spans="1:5" x14ac:dyDescent="0.3">
      <c r="A265" s="13" t="s">
        <v>103</v>
      </c>
      <c r="B265" s="4" t="s">
        <v>203</v>
      </c>
      <c r="C265" s="4" t="s">
        <v>303</v>
      </c>
      <c r="D265" s="8">
        <v>45728</v>
      </c>
      <c r="E265" s="11">
        <v>100000</v>
      </c>
    </row>
    <row r="266" spans="1:5" x14ac:dyDescent="0.3">
      <c r="A266" s="13" t="s">
        <v>33</v>
      </c>
      <c r="B266" s="4" t="s">
        <v>133</v>
      </c>
      <c r="C266" s="4" t="s">
        <v>233</v>
      </c>
      <c r="D266" s="8">
        <v>45729</v>
      </c>
      <c r="E266" s="11">
        <v>5000000</v>
      </c>
    </row>
    <row r="267" spans="1:5" x14ac:dyDescent="0.3">
      <c r="A267" s="13" t="s">
        <v>73</v>
      </c>
      <c r="B267" s="4" t="s">
        <v>173</v>
      </c>
      <c r="C267" s="4" t="s">
        <v>273</v>
      </c>
      <c r="D267" s="8">
        <v>45729</v>
      </c>
      <c r="E267" s="11">
        <v>50000</v>
      </c>
    </row>
    <row r="268" spans="1:5" x14ac:dyDescent="0.3">
      <c r="A268" s="13" t="s">
        <v>55</v>
      </c>
      <c r="B268" s="4" t="s">
        <v>155</v>
      </c>
      <c r="C268" s="4" t="s">
        <v>255</v>
      </c>
      <c r="D268" s="8">
        <v>45729</v>
      </c>
      <c r="E268" s="11">
        <v>1000000</v>
      </c>
    </row>
    <row r="269" spans="1:5" x14ac:dyDescent="0.3">
      <c r="A269" s="13" t="s">
        <v>51</v>
      </c>
      <c r="B269" s="4" t="s">
        <v>151</v>
      </c>
      <c r="C269" s="4" t="s">
        <v>251</v>
      </c>
      <c r="D269" s="8">
        <v>45729</v>
      </c>
      <c r="E269" s="11">
        <v>2000000</v>
      </c>
    </row>
    <row r="270" spans="1:5" x14ac:dyDescent="0.3">
      <c r="A270" s="13" t="s">
        <v>25</v>
      </c>
      <c r="B270" s="4" t="s">
        <v>125</v>
      </c>
      <c r="C270" s="4" t="s">
        <v>225</v>
      </c>
      <c r="D270" s="8">
        <v>45729</v>
      </c>
      <c r="E270" s="11">
        <v>3000000</v>
      </c>
    </row>
    <row r="271" spans="1:5" x14ac:dyDescent="0.3">
      <c r="A271" s="13" t="s">
        <v>23</v>
      </c>
      <c r="B271" s="4" t="s">
        <v>123</v>
      </c>
      <c r="C271" s="4" t="s">
        <v>223</v>
      </c>
      <c r="D271" s="8">
        <v>45730</v>
      </c>
      <c r="E271" s="11">
        <v>1000000</v>
      </c>
    </row>
    <row r="272" spans="1:5" x14ac:dyDescent="0.3">
      <c r="A272" s="13" t="s">
        <v>64</v>
      </c>
      <c r="B272" s="4" t="s">
        <v>164</v>
      </c>
      <c r="C272" s="4" t="s">
        <v>264</v>
      </c>
      <c r="D272" s="8">
        <v>45730</v>
      </c>
      <c r="E272" s="11">
        <v>7000000</v>
      </c>
    </row>
    <row r="273" spans="1:5" x14ac:dyDescent="0.3">
      <c r="A273" s="13" t="s">
        <v>86</v>
      </c>
      <c r="B273" s="4" t="s">
        <v>186</v>
      </c>
      <c r="C273" s="4" t="s">
        <v>286</v>
      </c>
      <c r="D273" s="8">
        <v>45730</v>
      </c>
      <c r="E273" s="11">
        <v>20000000</v>
      </c>
    </row>
    <row r="274" spans="1:5" x14ac:dyDescent="0.3">
      <c r="A274" s="13" t="s">
        <v>43</v>
      </c>
      <c r="B274" s="4" t="s">
        <v>143</v>
      </c>
      <c r="C274" s="4" t="s">
        <v>243</v>
      </c>
      <c r="D274" s="8">
        <v>45730</v>
      </c>
      <c r="E274" s="11">
        <v>7000000</v>
      </c>
    </row>
    <row r="275" spans="1:5" x14ac:dyDescent="0.3">
      <c r="A275" s="13" t="s">
        <v>96</v>
      </c>
      <c r="B275" s="4" t="s">
        <v>196</v>
      </c>
      <c r="C275" s="4" t="s">
        <v>296</v>
      </c>
      <c r="D275" s="8">
        <v>45730</v>
      </c>
      <c r="E275" s="11">
        <v>7000000</v>
      </c>
    </row>
    <row r="276" spans="1:5" x14ac:dyDescent="0.3">
      <c r="A276" s="13" t="s">
        <v>61</v>
      </c>
      <c r="B276" s="4" t="s">
        <v>161</v>
      </c>
      <c r="C276" s="4" t="s">
        <v>261</v>
      </c>
      <c r="D276" s="8">
        <v>45730</v>
      </c>
      <c r="E276" s="11">
        <v>200000</v>
      </c>
    </row>
    <row r="277" spans="1:5" x14ac:dyDescent="0.3">
      <c r="A277" s="13" t="s">
        <v>99</v>
      </c>
      <c r="B277" s="4" t="s">
        <v>199</v>
      </c>
      <c r="C277" s="4" t="s">
        <v>299</v>
      </c>
      <c r="D277" s="8">
        <v>45730</v>
      </c>
      <c r="E277" s="11">
        <v>3000000</v>
      </c>
    </row>
    <row r="278" spans="1:5" x14ac:dyDescent="0.3">
      <c r="A278" s="13" t="s">
        <v>39</v>
      </c>
      <c r="B278" s="4" t="s">
        <v>139</v>
      </c>
      <c r="C278" s="4" t="s">
        <v>239</v>
      </c>
      <c r="D278" s="8">
        <v>45731</v>
      </c>
      <c r="E278" s="11">
        <v>20000000</v>
      </c>
    </row>
    <row r="279" spans="1:5" x14ac:dyDescent="0.3">
      <c r="A279" s="13" t="s">
        <v>26</v>
      </c>
      <c r="B279" s="4" t="s">
        <v>126</v>
      </c>
      <c r="C279" s="4" t="s">
        <v>226</v>
      </c>
      <c r="D279" s="8">
        <v>45731</v>
      </c>
      <c r="E279" s="11">
        <v>150000</v>
      </c>
    </row>
    <row r="280" spans="1:5" x14ac:dyDescent="0.3">
      <c r="A280" s="13" t="s">
        <v>21</v>
      </c>
      <c r="B280" s="4" t="s">
        <v>121</v>
      </c>
      <c r="C280" s="4" t="s">
        <v>221</v>
      </c>
      <c r="D280" s="8">
        <v>45731</v>
      </c>
      <c r="E280" s="11">
        <v>5000000</v>
      </c>
    </row>
    <row r="281" spans="1:5" x14ac:dyDescent="0.3">
      <c r="A281" s="13" t="s">
        <v>45</v>
      </c>
      <c r="B281" s="4" t="s">
        <v>145</v>
      </c>
      <c r="C281" s="4" t="s">
        <v>245</v>
      </c>
      <c r="D281" s="8">
        <v>45732</v>
      </c>
      <c r="E281" s="11">
        <v>250000</v>
      </c>
    </row>
    <row r="282" spans="1:5" x14ac:dyDescent="0.3">
      <c r="A282" s="13" t="s">
        <v>65</v>
      </c>
      <c r="B282" s="4" t="s">
        <v>165</v>
      </c>
      <c r="C282" s="4" t="s">
        <v>265</v>
      </c>
      <c r="D282" s="8">
        <v>45732</v>
      </c>
      <c r="E282" s="11">
        <v>50000</v>
      </c>
    </row>
    <row r="283" spans="1:5" x14ac:dyDescent="0.3">
      <c r="A283" s="13" t="s">
        <v>38</v>
      </c>
      <c r="B283" s="4" t="s">
        <v>138</v>
      </c>
      <c r="C283" s="4" t="s">
        <v>238</v>
      </c>
      <c r="D283" s="8">
        <v>45732</v>
      </c>
      <c r="E283" s="11">
        <v>200000</v>
      </c>
    </row>
    <row r="284" spans="1:5" x14ac:dyDescent="0.3">
      <c r="A284" s="13" t="s">
        <v>19</v>
      </c>
      <c r="B284" s="4" t="s">
        <v>119</v>
      </c>
      <c r="C284" s="4" t="s">
        <v>219</v>
      </c>
      <c r="D284" s="8">
        <v>45732</v>
      </c>
      <c r="E284" s="11">
        <v>1000000</v>
      </c>
    </row>
    <row r="285" spans="1:5" x14ac:dyDescent="0.3">
      <c r="A285" s="13" t="s">
        <v>81</v>
      </c>
      <c r="B285" s="4" t="s">
        <v>181</v>
      </c>
      <c r="C285" s="4" t="s">
        <v>281</v>
      </c>
      <c r="D285" s="8">
        <v>45734</v>
      </c>
      <c r="E285" s="11">
        <v>1000000</v>
      </c>
    </row>
    <row r="286" spans="1:5" x14ac:dyDescent="0.3">
      <c r="A286" s="13" t="s">
        <v>57</v>
      </c>
      <c r="B286" s="4" t="s">
        <v>157</v>
      </c>
      <c r="C286" s="4" t="s">
        <v>257</v>
      </c>
      <c r="D286" s="8">
        <v>45734</v>
      </c>
      <c r="E286" s="11">
        <v>50000</v>
      </c>
    </row>
    <row r="287" spans="1:5" x14ac:dyDescent="0.3">
      <c r="A287" s="13" t="s">
        <v>93</v>
      </c>
      <c r="B287" s="4" t="s">
        <v>193</v>
      </c>
      <c r="C287" s="4" t="s">
        <v>293</v>
      </c>
      <c r="D287" s="8">
        <v>45735</v>
      </c>
      <c r="E287" s="11">
        <v>200000</v>
      </c>
    </row>
    <row r="288" spans="1:5" x14ac:dyDescent="0.3">
      <c r="A288" s="13" t="s">
        <v>27</v>
      </c>
      <c r="B288" s="4" t="s">
        <v>127</v>
      </c>
      <c r="C288" s="4" t="s">
        <v>227</v>
      </c>
      <c r="D288" s="8">
        <v>45735</v>
      </c>
      <c r="E288" s="11">
        <v>150000</v>
      </c>
    </row>
    <row r="289" spans="1:5" x14ac:dyDescent="0.3">
      <c r="A289" s="13" t="s">
        <v>89</v>
      </c>
      <c r="B289" s="4" t="s">
        <v>189</v>
      </c>
      <c r="C289" s="4" t="s">
        <v>289</v>
      </c>
      <c r="D289" s="8">
        <v>45735</v>
      </c>
      <c r="E289" s="11">
        <v>200000</v>
      </c>
    </row>
    <row r="290" spans="1:5" x14ac:dyDescent="0.3">
      <c r="A290" s="13" t="s">
        <v>8</v>
      </c>
      <c r="B290" s="4" t="s">
        <v>108</v>
      </c>
      <c r="C290" s="4" t="s">
        <v>208</v>
      </c>
      <c r="D290" s="8">
        <v>45736</v>
      </c>
      <c r="E290" s="11">
        <v>10000000</v>
      </c>
    </row>
    <row r="291" spans="1:5" x14ac:dyDescent="0.3">
      <c r="A291" s="13" t="s">
        <v>44</v>
      </c>
      <c r="B291" s="4" t="s">
        <v>144</v>
      </c>
      <c r="C291" s="4" t="s">
        <v>244</v>
      </c>
      <c r="D291" s="8">
        <v>45737</v>
      </c>
      <c r="E291" s="11">
        <v>3000000</v>
      </c>
    </row>
    <row r="292" spans="1:5" x14ac:dyDescent="0.3">
      <c r="A292" s="13" t="s">
        <v>40</v>
      </c>
      <c r="B292" s="4" t="s">
        <v>140</v>
      </c>
      <c r="C292" s="4" t="s">
        <v>240</v>
      </c>
      <c r="D292" s="8">
        <v>45737</v>
      </c>
      <c r="E292" s="11">
        <v>250000</v>
      </c>
    </row>
    <row r="293" spans="1:5" x14ac:dyDescent="0.3">
      <c r="A293" s="13" t="s">
        <v>48</v>
      </c>
      <c r="B293" s="4" t="s">
        <v>148</v>
      </c>
      <c r="C293" s="4" t="s">
        <v>248</v>
      </c>
      <c r="D293" s="8">
        <v>45737</v>
      </c>
      <c r="E293" s="11">
        <v>200000</v>
      </c>
    </row>
    <row r="294" spans="1:5" x14ac:dyDescent="0.3">
      <c r="A294" s="13" t="s">
        <v>74</v>
      </c>
      <c r="B294" s="4" t="s">
        <v>174</v>
      </c>
      <c r="C294" s="4" t="s">
        <v>274</v>
      </c>
      <c r="D294" s="8">
        <v>45738</v>
      </c>
      <c r="E294" s="11">
        <v>500000</v>
      </c>
    </row>
    <row r="295" spans="1:5" x14ac:dyDescent="0.3">
      <c r="A295" s="13" t="s">
        <v>57</v>
      </c>
      <c r="B295" s="4" t="s">
        <v>157</v>
      </c>
      <c r="C295" s="4" t="s">
        <v>257</v>
      </c>
      <c r="D295" s="8">
        <v>45738</v>
      </c>
      <c r="E295" s="11">
        <v>150000</v>
      </c>
    </row>
    <row r="296" spans="1:5" x14ac:dyDescent="0.3">
      <c r="A296" s="13" t="s">
        <v>44</v>
      </c>
      <c r="B296" s="4" t="s">
        <v>144</v>
      </c>
      <c r="C296" s="4" t="s">
        <v>244</v>
      </c>
      <c r="D296" s="8">
        <v>45738</v>
      </c>
      <c r="E296" s="11">
        <v>20000000</v>
      </c>
    </row>
    <row r="297" spans="1:5" x14ac:dyDescent="0.3">
      <c r="A297" s="13" t="s">
        <v>9</v>
      </c>
      <c r="B297" s="4" t="s">
        <v>109</v>
      </c>
      <c r="C297" s="4" t="s">
        <v>209</v>
      </c>
      <c r="D297" s="8">
        <v>45738</v>
      </c>
      <c r="E297" s="11">
        <v>100000</v>
      </c>
    </row>
    <row r="298" spans="1:5" x14ac:dyDescent="0.3">
      <c r="A298" s="13" t="s">
        <v>5</v>
      </c>
      <c r="B298" s="4" t="s">
        <v>105</v>
      </c>
      <c r="C298" s="4" t="s">
        <v>205</v>
      </c>
      <c r="D298" s="8">
        <v>45738</v>
      </c>
      <c r="E298" s="11">
        <v>150000</v>
      </c>
    </row>
    <row r="299" spans="1:5" x14ac:dyDescent="0.3">
      <c r="A299" s="13" t="s">
        <v>102</v>
      </c>
      <c r="B299" s="4" t="s">
        <v>202</v>
      </c>
      <c r="C299" s="4" t="s">
        <v>302</v>
      </c>
      <c r="D299" s="8">
        <v>45738</v>
      </c>
      <c r="E299" s="11">
        <v>50000</v>
      </c>
    </row>
    <row r="300" spans="1:5" x14ac:dyDescent="0.3">
      <c r="A300" s="13" t="s">
        <v>27</v>
      </c>
      <c r="B300" s="4" t="s">
        <v>127</v>
      </c>
      <c r="C300" s="4" t="s">
        <v>227</v>
      </c>
      <c r="D300" s="8">
        <v>45739</v>
      </c>
      <c r="E300" s="11">
        <v>50000</v>
      </c>
    </row>
    <row r="301" spans="1:5" x14ac:dyDescent="0.3">
      <c r="A301" s="13" t="s">
        <v>74</v>
      </c>
      <c r="B301" s="4" t="s">
        <v>174</v>
      </c>
      <c r="C301" s="4" t="s">
        <v>274</v>
      </c>
      <c r="D301" s="8">
        <v>45740</v>
      </c>
      <c r="E301" s="11">
        <v>500000</v>
      </c>
    </row>
    <row r="302" spans="1:5" x14ac:dyDescent="0.3">
      <c r="A302" s="13" t="s">
        <v>82</v>
      </c>
      <c r="B302" s="4" t="s">
        <v>182</v>
      </c>
      <c r="C302" s="4" t="s">
        <v>282</v>
      </c>
      <c r="D302" s="8">
        <v>45740</v>
      </c>
      <c r="E302" s="11">
        <v>5000000</v>
      </c>
    </row>
    <row r="303" spans="1:5" x14ac:dyDescent="0.3">
      <c r="A303" s="13" t="s">
        <v>102</v>
      </c>
      <c r="B303" s="4" t="s">
        <v>202</v>
      </c>
      <c r="C303" s="4" t="s">
        <v>302</v>
      </c>
      <c r="D303" s="8">
        <v>45740</v>
      </c>
      <c r="E303" s="11">
        <v>5000000</v>
      </c>
    </row>
    <row r="304" spans="1:5" x14ac:dyDescent="0.3">
      <c r="A304" s="13" t="s">
        <v>84</v>
      </c>
      <c r="B304" s="4" t="s">
        <v>184</v>
      </c>
      <c r="C304" s="4" t="s">
        <v>284</v>
      </c>
      <c r="D304" s="8">
        <v>45740</v>
      </c>
      <c r="E304" s="11">
        <v>7000000</v>
      </c>
    </row>
    <row r="305" spans="1:5" x14ac:dyDescent="0.3">
      <c r="A305" s="13" t="s">
        <v>45</v>
      </c>
      <c r="B305" s="4" t="s">
        <v>145</v>
      </c>
      <c r="C305" s="4" t="s">
        <v>245</v>
      </c>
      <c r="D305" s="8">
        <v>45741</v>
      </c>
      <c r="E305" s="11">
        <v>250000</v>
      </c>
    </row>
    <row r="306" spans="1:5" x14ac:dyDescent="0.3">
      <c r="A306" s="13" t="s">
        <v>103</v>
      </c>
      <c r="B306" s="4" t="s">
        <v>203</v>
      </c>
      <c r="C306" s="4" t="s">
        <v>303</v>
      </c>
      <c r="D306" s="8">
        <v>45741</v>
      </c>
      <c r="E306" s="11">
        <v>3000000</v>
      </c>
    </row>
    <row r="307" spans="1:5" x14ac:dyDescent="0.3">
      <c r="A307" s="13" t="s">
        <v>93</v>
      </c>
      <c r="B307" s="4" t="s">
        <v>193</v>
      </c>
      <c r="C307" s="4" t="s">
        <v>293</v>
      </c>
      <c r="D307" s="8">
        <v>45741</v>
      </c>
      <c r="E307" s="11">
        <v>100000</v>
      </c>
    </row>
    <row r="308" spans="1:5" x14ac:dyDescent="0.3">
      <c r="A308" s="13" t="s">
        <v>45</v>
      </c>
      <c r="B308" s="4" t="s">
        <v>145</v>
      </c>
      <c r="C308" s="4" t="s">
        <v>245</v>
      </c>
      <c r="D308" s="8">
        <v>45741</v>
      </c>
      <c r="E308" s="11">
        <v>10000000</v>
      </c>
    </row>
    <row r="309" spans="1:5" x14ac:dyDescent="0.3">
      <c r="A309" s="13" t="s">
        <v>94</v>
      </c>
      <c r="B309" s="4" t="s">
        <v>194</v>
      </c>
      <c r="C309" s="4" t="s">
        <v>294</v>
      </c>
      <c r="D309" s="8">
        <v>45741</v>
      </c>
      <c r="E309" s="11">
        <v>1000000</v>
      </c>
    </row>
    <row r="310" spans="1:5" x14ac:dyDescent="0.3">
      <c r="A310" s="13" t="s">
        <v>14</v>
      </c>
      <c r="B310" s="4" t="s">
        <v>114</v>
      </c>
      <c r="C310" s="4" t="s">
        <v>214</v>
      </c>
      <c r="D310" s="8">
        <v>45741</v>
      </c>
      <c r="E310" s="11">
        <v>50000</v>
      </c>
    </row>
    <row r="311" spans="1:5" x14ac:dyDescent="0.3">
      <c r="A311" s="13" t="s">
        <v>80</v>
      </c>
      <c r="B311" s="4" t="s">
        <v>180</v>
      </c>
      <c r="C311" s="4" t="s">
        <v>280</v>
      </c>
      <c r="D311" s="8">
        <v>45742</v>
      </c>
      <c r="E311" s="11">
        <v>250000</v>
      </c>
    </row>
    <row r="312" spans="1:5" x14ac:dyDescent="0.3">
      <c r="A312" s="13" t="s">
        <v>15</v>
      </c>
      <c r="B312" s="4" t="s">
        <v>115</v>
      </c>
      <c r="C312" s="4" t="s">
        <v>215</v>
      </c>
      <c r="D312" s="8">
        <v>45742</v>
      </c>
      <c r="E312" s="11">
        <v>10000000</v>
      </c>
    </row>
    <row r="313" spans="1:5" x14ac:dyDescent="0.3">
      <c r="A313" s="13" t="s">
        <v>78</v>
      </c>
      <c r="B313" s="4" t="s">
        <v>178</v>
      </c>
      <c r="C313" s="4" t="s">
        <v>278</v>
      </c>
      <c r="D313" s="8">
        <v>45742</v>
      </c>
      <c r="E313" s="11">
        <v>250000</v>
      </c>
    </row>
    <row r="314" spans="1:5" x14ac:dyDescent="0.3">
      <c r="A314" s="13" t="s">
        <v>87</v>
      </c>
      <c r="B314" s="4" t="s">
        <v>187</v>
      </c>
      <c r="C314" s="4" t="s">
        <v>287</v>
      </c>
      <c r="D314" s="8">
        <v>45742</v>
      </c>
      <c r="E314" s="11">
        <v>200000</v>
      </c>
    </row>
    <row r="315" spans="1:5" x14ac:dyDescent="0.3">
      <c r="A315" s="13" t="s">
        <v>41</v>
      </c>
      <c r="B315" s="4" t="s">
        <v>141</v>
      </c>
      <c r="C315" s="4" t="s">
        <v>241</v>
      </c>
      <c r="D315" s="8">
        <v>45743</v>
      </c>
      <c r="E315" s="11">
        <v>100000</v>
      </c>
    </row>
    <row r="316" spans="1:5" x14ac:dyDescent="0.3">
      <c r="A316" s="13" t="s">
        <v>63</v>
      </c>
      <c r="B316" s="4" t="s">
        <v>163</v>
      </c>
      <c r="C316" s="4" t="s">
        <v>263</v>
      </c>
      <c r="D316" s="8">
        <v>45743</v>
      </c>
      <c r="E316" s="11">
        <v>10000000</v>
      </c>
    </row>
    <row r="317" spans="1:5" x14ac:dyDescent="0.3">
      <c r="A317" s="13" t="s">
        <v>97</v>
      </c>
      <c r="B317" s="4" t="s">
        <v>197</v>
      </c>
      <c r="C317" s="4" t="s">
        <v>297</v>
      </c>
      <c r="D317" s="8">
        <v>45743</v>
      </c>
      <c r="E317" s="11">
        <v>1000000</v>
      </c>
    </row>
    <row r="318" spans="1:5" x14ac:dyDescent="0.3">
      <c r="A318" s="13" t="s">
        <v>5</v>
      </c>
      <c r="B318" s="4" t="s">
        <v>105</v>
      </c>
      <c r="C318" s="4" t="s">
        <v>205</v>
      </c>
      <c r="D318" s="8">
        <v>45744</v>
      </c>
      <c r="E318" s="11">
        <v>1000000</v>
      </c>
    </row>
    <row r="319" spans="1:5" x14ac:dyDescent="0.3">
      <c r="A319" s="13" t="s">
        <v>99</v>
      </c>
      <c r="B319" s="4" t="s">
        <v>199</v>
      </c>
      <c r="C319" s="4" t="s">
        <v>299</v>
      </c>
      <c r="D319" s="8">
        <v>45744</v>
      </c>
      <c r="E319" s="11">
        <v>150000</v>
      </c>
    </row>
    <row r="320" spans="1:5" x14ac:dyDescent="0.3">
      <c r="A320" s="13" t="s">
        <v>81</v>
      </c>
      <c r="B320" s="4" t="s">
        <v>181</v>
      </c>
      <c r="C320" s="4" t="s">
        <v>281</v>
      </c>
      <c r="D320" s="8">
        <v>45744</v>
      </c>
      <c r="E320" s="11">
        <v>20000000</v>
      </c>
    </row>
    <row r="321" spans="1:5" x14ac:dyDescent="0.3">
      <c r="A321" s="13" t="s">
        <v>51</v>
      </c>
      <c r="B321" s="4" t="s">
        <v>151</v>
      </c>
      <c r="C321" s="4" t="s">
        <v>251</v>
      </c>
      <c r="D321" s="8">
        <v>45744</v>
      </c>
      <c r="E321" s="11">
        <v>3000000</v>
      </c>
    </row>
    <row r="322" spans="1:5" x14ac:dyDescent="0.3">
      <c r="A322" s="13" t="s">
        <v>27</v>
      </c>
      <c r="B322" s="4" t="s">
        <v>127</v>
      </c>
      <c r="C322" s="4" t="s">
        <v>227</v>
      </c>
      <c r="D322" s="8">
        <v>45745</v>
      </c>
      <c r="E322" s="11">
        <v>5000000</v>
      </c>
    </row>
    <row r="323" spans="1:5" x14ac:dyDescent="0.3">
      <c r="A323" s="13" t="s">
        <v>77</v>
      </c>
      <c r="B323" s="4" t="s">
        <v>177</v>
      </c>
      <c r="C323" s="4" t="s">
        <v>277</v>
      </c>
      <c r="D323" s="8">
        <v>45745</v>
      </c>
      <c r="E323" s="11">
        <v>3000000</v>
      </c>
    </row>
    <row r="324" spans="1:5" x14ac:dyDescent="0.3">
      <c r="A324" s="13" t="s">
        <v>93</v>
      </c>
      <c r="B324" s="4" t="s">
        <v>193</v>
      </c>
      <c r="C324" s="4" t="s">
        <v>293</v>
      </c>
      <c r="D324" s="8">
        <v>45745</v>
      </c>
      <c r="E324" s="11">
        <v>500000</v>
      </c>
    </row>
    <row r="325" spans="1:5" x14ac:dyDescent="0.3">
      <c r="A325" s="13" t="s">
        <v>66</v>
      </c>
      <c r="B325" s="4" t="s">
        <v>166</v>
      </c>
      <c r="C325" s="4" t="s">
        <v>266</v>
      </c>
      <c r="D325" s="8">
        <v>45745</v>
      </c>
      <c r="E325" s="11">
        <v>500000</v>
      </c>
    </row>
    <row r="326" spans="1:5" x14ac:dyDescent="0.3">
      <c r="A326" s="13" t="s">
        <v>97</v>
      </c>
      <c r="B326" s="4" t="s">
        <v>197</v>
      </c>
      <c r="C326" s="4" t="s">
        <v>297</v>
      </c>
      <c r="D326" s="8">
        <v>45745</v>
      </c>
      <c r="E326" s="11">
        <v>2000000</v>
      </c>
    </row>
    <row r="327" spans="1:5" x14ac:dyDescent="0.3">
      <c r="A327" s="13" t="s">
        <v>67</v>
      </c>
      <c r="B327" s="4" t="s">
        <v>167</v>
      </c>
      <c r="C327" s="4" t="s">
        <v>267</v>
      </c>
      <c r="D327" s="8">
        <v>45745</v>
      </c>
      <c r="E327" s="11">
        <v>7000000</v>
      </c>
    </row>
    <row r="328" spans="1:5" x14ac:dyDescent="0.3">
      <c r="A328" s="13" t="s">
        <v>29</v>
      </c>
      <c r="B328" s="4" t="s">
        <v>129</v>
      </c>
      <c r="C328" s="4" t="s">
        <v>229</v>
      </c>
      <c r="D328" s="8">
        <v>45746</v>
      </c>
      <c r="E328" s="11">
        <v>250000</v>
      </c>
    </row>
    <row r="329" spans="1:5" x14ac:dyDescent="0.3">
      <c r="A329" s="13" t="s">
        <v>97</v>
      </c>
      <c r="B329" s="4" t="s">
        <v>197</v>
      </c>
      <c r="C329" s="4" t="s">
        <v>297</v>
      </c>
      <c r="D329" s="8">
        <v>45746</v>
      </c>
      <c r="E329" s="11">
        <v>150000</v>
      </c>
    </row>
    <row r="330" spans="1:5" x14ac:dyDescent="0.3">
      <c r="A330" s="13" t="s">
        <v>104</v>
      </c>
      <c r="B330" s="4" t="s">
        <v>204</v>
      </c>
      <c r="C330" s="4" t="s">
        <v>304</v>
      </c>
      <c r="D330" s="8">
        <v>45747</v>
      </c>
      <c r="E330" s="11">
        <v>3000000</v>
      </c>
    </row>
    <row r="331" spans="1:5" x14ac:dyDescent="0.3">
      <c r="A331" s="13" t="s">
        <v>44</v>
      </c>
      <c r="B331" s="4" t="s">
        <v>144</v>
      </c>
      <c r="C331" s="4" t="s">
        <v>244</v>
      </c>
      <c r="D331" s="8">
        <v>45748</v>
      </c>
      <c r="E331" s="11">
        <v>50000</v>
      </c>
    </row>
    <row r="332" spans="1:5" x14ac:dyDescent="0.3">
      <c r="A332" s="13" t="s">
        <v>90</v>
      </c>
      <c r="B332" s="4" t="s">
        <v>190</v>
      </c>
      <c r="C332" s="4" t="s">
        <v>290</v>
      </c>
      <c r="D332" s="8">
        <v>45748</v>
      </c>
      <c r="E332" s="11">
        <v>150000</v>
      </c>
    </row>
    <row r="333" spans="1:5" x14ac:dyDescent="0.3">
      <c r="A333" s="13" t="s">
        <v>40</v>
      </c>
      <c r="B333" s="4" t="s">
        <v>140</v>
      </c>
      <c r="C333" s="4" t="s">
        <v>240</v>
      </c>
      <c r="D333" s="8">
        <v>45748</v>
      </c>
      <c r="E333" s="11">
        <v>20000000</v>
      </c>
    </row>
    <row r="334" spans="1:5" x14ac:dyDescent="0.3">
      <c r="A334" s="13" t="s">
        <v>5</v>
      </c>
      <c r="B334" s="4" t="s">
        <v>105</v>
      </c>
      <c r="C334" s="4" t="s">
        <v>205</v>
      </c>
      <c r="D334" s="8">
        <v>45749</v>
      </c>
      <c r="E334" s="11">
        <v>10000000</v>
      </c>
    </row>
    <row r="335" spans="1:5" x14ac:dyDescent="0.3">
      <c r="A335" s="13" t="s">
        <v>70</v>
      </c>
      <c r="B335" s="4" t="s">
        <v>170</v>
      </c>
      <c r="C335" s="4" t="s">
        <v>270</v>
      </c>
      <c r="D335" s="8">
        <v>45749</v>
      </c>
      <c r="E335" s="11">
        <v>500000</v>
      </c>
    </row>
    <row r="336" spans="1:5" x14ac:dyDescent="0.3">
      <c r="A336" s="13" t="s">
        <v>71</v>
      </c>
      <c r="B336" s="4" t="s">
        <v>171</v>
      </c>
      <c r="C336" s="4" t="s">
        <v>271</v>
      </c>
      <c r="D336" s="8">
        <v>45749</v>
      </c>
      <c r="E336" s="11">
        <v>50000</v>
      </c>
    </row>
    <row r="337" spans="1:5" x14ac:dyDescent="0.3">
      <c r="A337" s="13" t="s">
        <v>21</v>
      </c>
      <c r="B337" s="4" t="s">
        <v>121</v>
      </c>
      <c r="C337" s="4" t="s">
        <v>221</v>
      </c>
      <c r="D337" s="8">
        <v>45749</v>
      </c>
      <c r="E337" s="11">
        <v>20000000</v>
      </c>
    </row>
    <row r="338" spans="1:5" x14ac:dyDescent="0.3">
      <c r="A338" s="13" t="s">
        <v>48</v>
      </c>
      <c r="B338" s="4" t="s">
        <v>148</v>
      </c>
      <c r="C338" s="4" t="s">
        <v>248</v>
      </c>
      <c r="D338" s="8">
        <v>45749</v>
      </c>
      <c r="E338" s="11">
        <v>2000000</v>
      </c>
    </row>
    <row r="339" spans="1:5" x14ac:dyDescent="0.3">
      <c r="A339" s="13" t="s">
        <v>53</v>
      </c>
      <c r="B339" s="4" t="s">
        <v>153</v>
      </c>
      <c r="C339" s="4" t="s">
        <v>253</v>
      </c>
      <c r="D339" s="8">
        <v>45750</v>
      </c>
      <c r="E339" s="11">
        <v>150000</v>
      </c>
    </row>
    <row r="340" spans="1:5" x14ac:dyDescent="0.3">
      <c r="A340" s="13" t="s">
        <v>38</v>
      </c>
      <c r="B340" s="4" t="s">
        <v>138</v>
      </c>
      <c r="C340" s="4" t="s">
        <v>238</v>
      </c>
      <c r="D340" s="8">
        <v>45750</v>
      </c>
      <c r="E340" s="11">
        <v>100000</v>
      </c>
    </row>
    <row r="341" spans="1:5" x14ac:dyDescent="0.3">
      <c r="A341" s="13" t="s">
        <v>97</v>
      </c>
      <c r="B341" s="4" t="s">
        <v>197</v>
      </c>
      <c r="C341" s="4" t="s">
        <v>297</v>
      </c>
      <c r="D341" s="8">
        <v>45750</v>
      </c>
      <c r="E341" s="11">
        <v>500000</v>
      </c>
    </row>
    <row r="342" spans="1:5" x14ac:dyDescent="0.3">
      <c r="A342" s="13" t="s">
        <v>65</v>
      </c>
      <c r="B342" s="4" t="s">
        <v>165</v>
      </c>
      <c r="C342" s="4" t="s">
        <v>265</v>
      </c>
      <c r="D342" s="8">
        <v>45751</v>
      </c>
      <c r="E342" s="11">
        <v>2000000</v>
      </c>
    </row>
    <row r="343" spans="1:5" x14ac:dyDescent="0.3">
      <c r="A343" s="13" t="s">
        <v>21</v>
      </c>
      <c r="B343" s="4" t="s">
        <v>121</v>
      </c>
      <c r="C343" s="4" t="s">
        <v>221</v>
      </c>
      <c r="D343" s="8">
        <v>45751</v>
      </c>
      <c r="E343" s="11">
        <v>500000</v>
      </c>
    </row>
    <row r="344" spans="1:5" x14ac:dyDescent="0.3">
      <c r="A344" s="13" t="s">
        <v>88</v>
      </c>
      <c r="B344" s="4" t="s">
        <v>188</v>
      </c>
      <c r="C344" s="4" t="s">
        <v>288</v>
      </c>
      <c r="D344" s="8">
        <v>45751</v>
      </c>
      <c r="E344" s="11">
        <v>2000000</v>
      </c>
    </row>
    <row r="345" spans="1:5" x14ac:dyDescent="0.3">
      <c r="A345" s="13" t="s">
        <v>67</v>
      </c>
      <c r="B345" s="4" t="s">
        <v>167</v>
      </c>
      <c r="C345" s="4" t="s">
        <v>267</v>
      </c>
      <c r="D345" s="8">
        <v>45751</v>
      </c>
      <c r="E345" s="11">
        <v>150000</v>
      </c>
    </row>
    <row r="346" spans="1:5" x14ac:dyDescent="0.3">
      <c r="A346" s="13" t="s">
        <v>16</v>
      </c>
      <c r="B346" s="4" t="s">
        <v>116</v>
      </c>
      <c r="C346" s="4" t="s">
        <v>216</v>
      </c>
      <c r="D346" s="8">
        <v>45752</v>
      </c>
      <c r="E346" s="11">
        <v>3000000</v>
      </c>
    </row>
    <row r="347" spans="1:5" x14ac:dyDescent="0.3">
      <c r="A347" s="13" t="s">
        <v>95</v>
      </c>
      <c r="B347" s="4" t="s">
        <v>195</v>
      </c>
      <c r="C347" s="4" t="s">
        <v>295</v>
      </c>
      <c r="D347" s="8">
        <v>45752</v>
      </c>
      <c r="E347" s="11">
        <v>150000</v>
      </c>
    </row>
    <row r="348" spans="1:5" x14ac:dyDescent="0.3">
      <c r="A348" s="13" t="s">
        <v>46</v>
      </c>
      <c r="B348" s="4" t="s">
        <v>146</v>
      </c>
      <c r="C348" s="4" t="s">
        <v>246</v>
      </c>
      <c r="D348" s="8">
        <v>45753</v>
      </c>
      <c r="E348" s="11">
        <v>200000</v>
      </c>
    </row>
    <row r="349" spans="1:5" x14ac:dyDescent="0.3">
      <c r="A349" s="13" t="s">
        <v>22</v>
      </c>
      <c r="B349" s="4" t="s">
        <v>122</v>
      </c>
      <c r="C349" s="4" t="s">
        <v>222</v>
      </c>
      <c r="D349" s="8">
        <v>45753</v>
      </c>
      <c r="E349" s="11">
        <v>7000000</v>
      </c>
    </row>
    <row r="350" spans="1:5" x14ac:dyDescent="0.3">
      <c r="A350" s="13" t="s">
        <v>82</v>
      </c>
      <c r="B350" s="4" t="s">
        <v>182</v>
      </c>
      <c r="C350" s="4" t="s">
        <v>282</v>
      </c>
      <c r="D350" s="8">
        <v>45754</v>
      </c>
      <c r="E350" s="11">
        <v>20000000</v>
      </c>
    </row>
    <row r="351" spans="1:5" x14ac:dyDescent="0.3">
      <c r="A351" s="13" t="s">
        <v>56</v>
      </c>
      <c r="B351" s="4" t="s">
        <v>156</v>
      </c>
      <c r="C351" s="4" t="s">
        <v>256</v>
      </c>
      <c r="D351" s="8">
        <v>45754</v>
      </c>
      <c r="E351" s="11">
        <v>3000000</v>
      </c>
    </row>
    <row r="352" spans="1:5" x14ac:dyDescent="0.3">
      <c r="A352" s="13" t="s">
        <v>23</v>
      </c>
      <c r="B352" s="4" t="s">
        <v>123</v>
      </c>
      <c r="C352" s="4" t="s">
        <v>223</v>
      </c>
      <c r="D352" s="8">
        <v>45754</v>
      </c>
      <c r="E352" s="11">
        <v>100000</v>
      </c>
    </row>
    <row r="353" spans="1:5" x14ac:dyDescent="0.3">
      <c r="A353" s="13" t="s">
        <v>73</v>
      </c>
      <c r="B353" s="4" t="s">
        <v>173</v>
      </c>
      <c r="C353" s="4" t="s">
        <v>273</v>
      </c>
      <c r="D353" s="8">
        <v>45754</v>
      </c>
      <c r="E353" s="11">
        <v>2000000</v>
      </c>
    </row>
    <row r="354" spans="1:5" x14ac:dyDescent="0.3">
      <c r="A354" s="13" t="s">
        <v>8</v>
      </c>
      <c r="B354" s="4" t="s">
        <v>108</v>
      </c>
      <c r="C354" s="4" t="s">
        <v>208</v>
      </c>
      <c r="D354" s="8">
        <v>45755</v>
      </c>
      <c r="E354" s="11">
        <v>250000</v>
      </c>
    </row>
    <row r="355" spans="1:5" x14ac:dyDescent="0.3">
      <c r="A355" s="13" t="s">
        <v>100</v>
      </c>
      <c r="B355" s="4" t="s">
        <v>200</v>
      </c>
      <c r="C355" s="4" t="s">
        <v>300</v>
      </c>
      <c r="D355" s="8">
        <v>45755</v>
      </c>
      <c r="E355" s="11">
        <v>250000</v>
      </c>
    </row>
    <row r="356" spans="1:5" x14ac:dyDescent="0.3">
      <c r="A356" s="13" t="s">
        <v>95</v>
      </c>
      <c r="B356" s="4" t="s">
        <v>195</v>
      </c>
      <c r="C356" s="4" t="s">
        <v>295</v>
      </c>
      <c r="D356" s="8">
        <v>45755</v>
      </c>
      <c r="E356" s="11">
        <v>150000</v>
      </c>
    </row>
    <row r="357" spans="1:5" x14ac:dyDescent="0.3">
      <c r="A357" s="13" t="s">
        <v>49</v>
      </c>
      <c r="B357" s="4" t="s">
        <v>149</v>
      </c>
      <c r="C357" s="4" t="s">
        <v>249</v>
      </c>
      <c r="D357" s="8">
        <v>45756</v>
      </c>
      <c r="E357" s="11">
        <v>150000</v>
      </c>
    </row>
    <row r="358" spans="1:5" x14ac:dyDescent="0.3">
      <c r="A358" s="13" t="s">
        <v>9</v>
      </c>
      <c r="B358" s="4" t="s">
        <v>109</v>
      </c>
      <c r="C358" s="4" t="s">
        <v>209</v>
      </c>
      <c r="D358" s="8">
        <v>45756</v>
      </c>
      <c r="E358" s="11">
        <v>250000</v>
      </c>
    </row>
    <row r="359" spans="1:5" x14ac:dyDescent="0.3">
      <c r="A359" s="13" t="s">
        <v>61</v>
      </c>
      <c r="B359" s="4" t="s">
        <v>161</v>
      </c>
      <c r="C359" s="4" t="s">
        <v>261</v>
      </c>
      <c r="D359" s="8">
        <v>45757</v>
      </c>
      <c r="E359" s="11">
        <v>150000</v>
      </c>
    </row>
    <row r="360" spans="1:5" x14ac:dyDescent="0.3">
      <c r="A360" s="13" t="s">
        <v>35</v>
      </c>
      <c r="B360" s="4" t="s">
        <v>135</v>
      </c>
      <c r="C360" s="4" t="s">
        <v>235</v>
      </c>
      <c r="D360" s="8">
        <v>45757</v>
      </c>
      <c r="E360" s="11">
        <v>5000000</v>
      </c>
    </row>
    <row r="361" spans="1:5" x14ac:dyDescent="0.3">
      <c r="A361" s="13" t="s">
        <v>65</v>
      </c>
      <c r="B361" s="4" t="s">
        <v>165</v>
      </c>
      <c r="C361" s="4" t="s">
        <v>265</v>
      </c>
      <c r="D361" s="8">
        <v>45757</v>
      </c>
      <c r="E361" s="11">
        <v>50000</v>
      </c>
    </row>
    <row r="362" spans="1:5" x14ac:dyDescent="0.3">
      <c r="A362" s="13" t="s">
        <v>66</v>
      </c>
      <c r="B362" s="4" t="s">
        <v>166</v>
      </c>
      <c r="C362" s="4" t="s">
        <v>266</v>
      </c>
      <c r="D362" s="8">
        <v>45757</v>
      </c>
      <c r="E362" s="11">
        <v>200000</v>
      </c>
    </row>
    <row r="363" spans="1:5" x14ac:dyDescent="0.3">
      <c r="A363" s="13" t="s">
        <v>14</v>
      </c>
      <c r="B363" s="4" t="s">
        <v>114</v>
      </c>
      <c r="C363" s="4" t="s">
        <v>214</v>
      </c>
      <c r="D363" s="8">
        <v>45758</v>
      </c>
      <c r="E363" s="11">
        <v>150000</v>
      </c>
    </row>
    <row r="364" spans="1:5" x14ac:dyDescent="0.3">
      <c r="A364" s="13" t="s">
        <v>68</v>
      </c>
      <c r="B364" s="4" t="s">
        <v>168</v>
      </c>
      <c r="C364" s="4" t="s">
        <v>268</v>
      </c>
      <c r="D364" s="8">
        <v>45758</v>
      </c>
      <c r="E364" s="11">
        <v>1000000</v>
      </c>
    </row>
    <row r="365" spans="1:5" x14ac:dyDescent="0.3">
      <c r="A365" s="13" t="s">
        <v>15</v>
      </c>
      <c r="B365" s="4" t="s">
        <v>115</v>
      </c>
      <c r="C365" s="4" t="s">
        <v>215</v>
      </c>
      <c r="D365" s="8">
        <v>45758</v>
      </c>
      <c r="E365" s="11">
        <v>500000</v>
      </c>
    </row>
    <row r="366" spans="1:5" x14ac:dyDescent="0.3">
      <c r="A366" s="13" t="s">
        <v>102</v>
      </c>
      <c r="B366" s="4" t="s">
        <v>202</v>
      </c>
      <c r="C366" s="4" t="s">
        <v>302</v>
      </c>
      <c r="D366" s="8">
        <v>45759</v>
      </c>
      <c r="E366" s="11">
        <v>500000</v>
      </c>
    </row>
    <row r="367" spans="1:5" x14ac:dyDescent="0.3">
      <c r="A367" s="13" t="s">
        <v>38</v>
      </c>
      <c r="B367" s="4" t="s">
        <v>138</v>
      </c>
      <c r="C367" s="4" t="s">
        <v>238</v>
      </c>
      <c r="D367" s="8">
        <v>45760</v>
      </c>
      <c r="E367" s="11">
        <v>7000000</v>
      </c>
    </row>
    <row r="368" spans="1:5" x14ac:dyDescent="0.3">
      <c r="A368" s="13" t="s">
        <v>30</v>
      </c>
      <c r="B368" s="4" t="s">
        <v>130</v>
      </c>
      <c r="C368" s="4" t="s">
        <v>230</v>
      </c>
      <c r="D368" s="8">
        <v>45760</v>
      </c>
      <c r="E368" s="11">
        <v>20000000</v>
      </c>
    </row>
    <row r="369" spans="1:5" x14ac:dyDescent="0.3">
      <c r="A369" s="13" t="s">
        <v>80</v>
      </c>
      <c r="B369" s="4" t="s">
        <v>180</v>
      </c>
      <c r="C369" s="4" t="s">
        <v>280</v>
      </c>
      <c r="D369" s="8">
        <v>45760</v>
      </c>
      <c r="E369" s="11">
        <v>7000000</v>
      </c>
    </row>
    <row r="370" spans="1:5" x14ac:dyDescent="0.3">
      <c r="A370" s="13" t="s">
        <v>99</v>
      </c>
      <c r="B370" s="4" t="s">
        <v>199</v>
      </c>
      <c r="C370" s="4" t="s">
        <v>299</v>
      </c>
      <c r="D370" s="8">
        <v>45760</v>
      </c>
      <c r="E370" s="11">
        <v>10000000</v>
      </c>
    </row>
    <row r="371" spans="1:5" x14ac:dyDescent="0.3">
      <c r="A371" s="13" t="s">
        <v>23</v>
      </c>
      <c r="B371" s="4" t="s">
        <v>123</v>
      </c>
      <c r="C371" s="4" t="s">
        <v>223</v>
      </c>
      <c r="D371" s="8">
        <v>45761</v>
      </c>
      <c r="E371" s="11">
        <v>1000000</v>
      </c>
    </row>
    <row r="372" spans="1:5" x14ac:dyDescent="0.3">
      <c r="A372" s="13" t="s">
        <v>34</v>
      </c>
      <c r="B372" s="4" t="s">
        <v>134</v>
      </c>
      <c r="C372" s="4" t="s">
        <v>234</v>
      </c>
      <c r="D372" s="8">
        <v>45761</v>
      </c>
      <c r="E372" s="11">
        <v>2000000</v>
      </c>
    </row>
    <row r="373" spans="1:5" x14ac:dyDescent="0.3">
      <c r="A373" s="13" t="s">
        <v>90</v>
      </c>
      <c r="B373" s="4" t="s">
        <v>190</v>
      </c>
      <c r="C373" s="4" t="s">
        <v>290</v>
      </c>
      <c r="D373" s="8">
        <v>45762</v>
      </c>
      <c r="E373" s="11">
        <v>10000000</v>
      </c>
    </row>
    <row r="374" spans="1:5" x14ac:dyDescent="0.3">
      <c r="A374" s="13" t="s">
        <v>47</v>
      </c>
      <c r="B374" s="4" t="s">
        <v>147</v>
      </c>
      <c r="C374" s="4" t="s">
        <v>247</v>
      </c>
      <c r="D374" s="8">
        <v>45762</v>
      </c>
      <c r="E374" s="11">
        <v>7000000</v>
      </c>
    </row>
    <row r="375" spans="1:5" x14ac:dyDescent="0.3">
      <c r="A375" s="13" t="s">
        <v>64</v>
      </c>
      <c r="B375" s="4" t="s">
        <v>164</v>
      </c>
      <c r="C375" s="4" t="s">
        <v>264</v>
      </c>
      <c r="D375" s="8">
        <v>45762</v>
      </c>
      <c r="E375" s="11">
        <v>100000</v>
      </c>
    </row>
    <row r="376" spans="1:5" x14ac:dyDescent="0.3">
      <c r="A376" s="13" t="s">
        <v>17</v>
      </c>
      <c r="B376" s="4" t="s">
        <v>117</v>
      </c>
      <c r="C376" s="4" t="s">
        <v>217</v>
      </c>
      <c r="D376" s="8">
        <v>45762</v>
      </c>
      <c r="E376" s="11">
        <v>150000</v>
      </c>
    </row>
    <row r="377" spans="1:5" x14ac:dyDescent="0.3">
      <c r="A377" s="13" t="s">
        <v>23</v>
      </c>
      <c r="B377" s="4" t="s">
        <v>123</v>
      </c>
      <c r="C377" s="4" t="s">
        <v>223</v>
      </c>
      <c r="D377" s="8">
        <v>45762</v>
      </c>
      <c r="E377" s="11">
        <v>20000000</v>
      </c>
    </row>
    <row r="378" spans="1:5" x14ac:dyDescent="0.3">
      <c r="A378" s="13" t="s">
        <v>53</v>
      </c>
      <c r="B378" s="4" t="s">
        <v>153</v>
      </c>
      <c r="C378" s="4" t="s">
        <v>253</v>
      </c>
      <c r="D378" s="8">
        <v>45762</v>
      </c>
      <c r="E378" s="11">
        <v>10000000</v>
      </c>
    </row>
    <row r="379" spans="1:5" x14ac:dyDescent="0.3">
      <c r="A379" s="13" t="s">
        <v>48</v>
      </c>
      <c r="B379" s="4" t="s">
        <v>148</v>
      </c>
      <c r="C379" s="4" t="s">
        <v>248</v>
      </c>
      <c r="D379" s="8">
        <v>45763</v>
      </c>
      <c r="E379" s="11">
        <v>3000000</v>
      </c>
    </row>
    <row r="380" spans="1:5" x14ac:dyDescent="0.3">
      <c r="A380" s="13" t="s">
        <v>69</v>
      </c>
      <c r="B380" s="4" t="s">
        <v>169</v>
      </c>
      <c r="C380" s="4" t="s">
        <v>269</v>
      </c>
      <c r="D380" s="8">
        <v>45763</v>
      </c>
      <c r="E380" s="11">
        <v>50000</v>
      </c>
    </row>
    <row r="381" spans="1:5" x14ac:dyDescent="0.3">
      <c r="A381" s="13" t="s">
        <v>8</v>
      </c>
      <c r="B381" s="4" t="s">
        <v>108</v>
      </c>
      <c r="C381" s="4" t="s">
        <v>208</v>
      </c>
      <c r="D381" s="8">
        <v>45763</v>
      </c>
      <c r="E381" s="11">
        <v>500000</v>
      </c>
    </row>
    <row r="382" spans="1:5" x14ac:dyDescent="0.3">
      <c r="A382" s="13" t="s">
        <v>79</v>
      </c>
      <c r="B382" s="4" t="s">
        <v>179</v>
      </c>
      <c r="C382" s="4" t="s">
        <v>279</v>
      </c>
      <c r="D382" s="8">
        <v>45763</v>
      </c>
      <c r="E382" s="11">
        <v>500000</v>
      </c>
    </row>
    <row r="383" spans="1:5" x14ac:dyDescent="0.3">
      <c r="A383" s="13" t="s">
        <v>97</v>
      </c>
      <c r="B383" s="4" t="s">
        <v>197</v>
      </c>
      <c r="C383" s="4" t="s">
        <v>297</v>
      </c>
      <c r="D383" s="8">
        <v>45763</v>
      </c>
      <c r="E383" s="11">
        <v>250000</v>
      </c>
    </row>
    <row r="384" spans="1:5" x14ac:dyDescent="0.3">
      <c r="A384" s="13" t="s">
        <v>28</v>
      </c>
      <c r="B384" s="4" t="s">
        <v>128</v>
      </c>
      <c r="C384" s="4" t="s">
        <v>228</v>
      </c>
      <c r="D384" s="8">
        <v>45763</v>
      </c>
      <c r="E384" s="11">
        <v>10000000</v>
      </c>
    </row>
    <row r="385" spans="1:5" x14ac:dyDescent="0.3">
      <c r="A385" s="13" t="s">
        <v>20</v>
      </c>
      <c r="B385" s="4" t="s">
        <v>120</v>
      </c>
      <c r="C385" s="4" t="s">
        <v>220</v>
      </c>
      <c r="D385" s="8">
        <v>45763</v>
      </c>
      <c r="E385" s="11">
        <v>7000000</v>
      </c>
    </row>
    <row r="386" spans="1:5" x14ac:dyDescent="0.3">
      <c r="A386" s="13" t="s">
        <v>84</v>
      </c>
      <c r="B386" s="4" t="s">
        <v>184</v>
      </c>
      <c r="C386" s="4" t="s">
        <v>284</v>
      </c>
      <c r="D386" s="8">
        <v>45764</v>
      </c>
      <c r="E386" s="11">
        <v>100000</v>
      </c>
    </row>
    <row r="387" spans="1:5" x14ac:dyDescent="0.3">
      <c r="A387" s="13" t="s">
        <v>19</v>
      </c>
      <c r="B387" s="4" t="s">
        <v>119</v>
      </c>
      <c r="C387" s="4" t="s">
        <v>219</v>
      </c>
      <c r="D387" s="8">
        <v>45764</v>
      </c>
      <c r="E387" s="11">
        <v>20000000</v>
      </c>
    </row>
    <row r="388" spans="1:5" x14ac:dyDescent="0.3">
      <c r="A388" s="13" t="s">
        <v>6</v>
      </c>
      <c r="B388" s="4" t="s">
        <v>106</v>
      </c>
      <c r="C388" s="4" t="s">
        <v>206</v>
      </c>
      <c r="D388" s="8">
        <v>45764</v>
      </c>
      <c r="E388" s="11">
        <v>10000000</v>
      </c>
    </row>
    <row r="389" spans="1:5" x14ac:dyDescent="0.3">
      <c r="A389" s="13" t="s">
        <v>33</v>
      </c>
      <c r="B389" s="4" t="s">
        <v>133</v>
      </c>
      <c r="C389" s="4" t="s">
        <v>233</v>
      </c>
      <c r="D389" s="8">
        <v>45765</v>
      </c>
      <c r="E389" s="11">
        <v>150000</v>
      </c>
    </row>
    <row r="390" spans="1:5" x14ac:dyDescent="0.3">
      <c r="A390" s="13" t="s">
        <v>11</v>
      </c>
      <c r="B390" s="4" t="s">
        <v>111</v>
      </c>
      <c r="C390" s="4" t="s">
        <v>211</v>
      </c>
      <c r="D390" s="8">
        <v>45766</v>
      </c>
      <c r="E390" s="11">
        <v>7000000</v>
      </c>
    </row>
    <row r="391" spans="1:5" x14ac:dyDescent="0.3">
      <c r="A391" s="13" t="s">
        <v>16</v>
      </c>
      <c r="B391" s="4" t="s">
        <v>116</v>
      </c>
      <c r="C391" s="4" t="s">
        <v>216</v>
      </c>
      <c r="D391" s="8">
        <v>45766</v>
      </c>
      <c r="E391" s="11">
        <v>50000</v>
      </c>
    </row>
    <row r="392" spans="1:5" x14ac:dyDescent="0.3">
      <c r="A392" s="13" t="s">
        <v>74</v>
      </c>
      <c r="B392" s="4" t="s">
        <v>174</v>
      </c>
      <c r="C392" s="4" t="s">
        <v>274</v>
      </c>
      <c r="D392" s="8">
        <v>45767</v>
      </c>
      <c r="E392" s="11">
        <v>20000000</v>
      </c>
    </row>
    <row r="393" spans="1:5" x14ac:dyDescent="0.3">
      <c r="A393" s="13" t="s">
        <v>23</v>
      </c>
      <c r="B393" s="4" t="s">
        <v>123</v>
      </c>
      <c r="C393" s="4" t="s">
        <v>223</v>
      </c>
      <c r="D393" s="8">
        <v>45767</v>
      </c>
      <c r="E393" s="11">
        <v>50000</v>
      </c>
    </row>
    <row r="394" spans="1:5" x14ac:dyDescent="0.3">
      <c r="A394" s="13" t="s">
        <v>63</v>
      </c>
      <c r="B394" s="4" t="s">
        <v>163</v>
      </c>
      <c r="C394" s="4" t="s">
        <v>263</v>
      </c>
      <c r="D394" s="8">
        <v>45767</v>
      </c>
      <c r="E394" s="11">
        <v>150000</v>
      </c>
    </row>
    <row r="395" spans="1:5" x14ac:dyDescent="0.3">
      <c r="A395" s="13" t="s">
        <v>44</v>
      </c>
      <c r="B395" s="4" t="s">
        <v>144</v>
      </c>
      <c r="C395" s="4" t="s">
        <v>244</v>
      </c>
      <c r="D395" s="8">
        <v>45767</v>
      </c>
      <c r="E395" s="11">
        <v>100000</v>
      </c>
    </row>
    <row r="396" spans="1:5" x14ac:dyDescent="0.3">
      <c r="A396" s="13" t="s">
        <v>102</v>
      </c>
      <c r="B396" s="4" t="s">
        <v>202</v>
      </c>
      <c r="C396" s="4" t="s">
        <v>302</v>
      </c>
      <c r="D396" s="8">
        <v>45767</v>
      </c>
      <c r="E396" s="11">
        <v>20000000</v>
      </c>
    </row>
    <row r="397" spans="1:5" x14ac:dyDescent="0.3">
      <c r="A397" s="13" t="s">
        <v>85</v>
      </c>
      <c r="B397" s="4" t="s">
        <v>185</v>
      </c>
      <c r="C397" s="4" t="s">
        <v>285</v>
      </c>
      <c r="D397" s="8">
        <v>45768</v>
      </c>
      <c r="E397" s="11">
        <v>100000</v>
      </c>
    </row>
    <row r="398" spans="1:5" x14ac:dyDescent="0.3">
      <c r="A398" s="13" t="s">
        <v>6</v>
      </c>
      <c r="B398" s="4" t="s">
        <v>106</v>
      </c>
      <c r="C398" s="4" t="s">
        <v>206</v>
      </c>
      <c r="D398" s="8">
        <v>45768</v>
      </c>
      <c r="E398" s="11">
        <v>150000</v>
      </c>
    </row>
    <row r="399" spans="1:5" x14ac:dyDescent="0.3">
      <c r="A399" s="13" t="s">
        <v>66</v>
      </c>
      <c r="B399" s="4" t="s">
        <v>166</v>
      </c>
      <c r="C399" s="4" t="s">
        <v>266</v>
      </c>
      <c r="D399" s="8">
        <v>45768</v>
      </c>
      <c r="E399" s="11">
        <v>200000</v>
      </c>
    </row>
    <row r="400" spans="1:5" x14ac:dyDescent="0.3">
      <c r="A400" s="13" t="s">
        <v>44</v>
      </c>
      <c r="B400" s="4" t="s">
        <v>144</v>
      </c>
      <c r="C400" s="4" t="s">
        <v>244</v>
      </c>
      <c r="D400" s="8">
        <v>45768</v>
      </c>
      <c r="E400" s="11">
        <v>2000000</v>
      </c>
    </row>
    <row r="401" spans="1:5" x14ac:dyDescent="0.3">
      <c r="A401" s="13" t="s">
        <v>35</v>
      </c>
      <c r="B401" s="4" t="s">
        <v>135</v>
      </c>
      <c r="C401" s="4" t="s">
        <v>235</v>
      </c>
      <c r="D401" s="8">
        <v>45769</v>
      </c>
      <c r="E401" s="11">
        <v>20000000</v>
      </c>
    </row>
    <row r="402" spans="1:5" x14ac:dyDescent="0.3">
      <c r="A402" s="13" t="s">
        <v>51</v>
      </c>
      <c r="B402" s="4" t="s">
        <v>151</v>
      </c>
      <c r="C402" s="4" t="s">
        <v>251</v>
      </c>
      <c r="D402" s="8">
        <v>45769</v>
      </c>
      <c r="E402" s="11">
        <v>250000</v>
      </c>
    </row>
    <row r="403" spans="1:5" x14ac:dyDescent="0.3">
      <c r="A403" s="13" t="s">
        <v>56</v>
      </c>
      <c r="B403" s="4" t="s">
        <v>156</v>
      </c>
      <c r="C403" s="4" t="s">
        <v>256</v>
      </c>
      <c r="D403" s="8">
        <v>45769</v>
      </c>
      <c r="E403" s="11">
        <v>10000000</v>
      </c>
    </row>
    <row r="404" spans="1:5" x14ac:dyDescent="0.3">
      <c r="A404" s="13" t="s">
        <v>95</v>
      </c>
      <c r="B404" s="4" t="s">
        <v>195</v>
      </c>
      <c r="C404" s="4" t="s">
        <v>295</v>
      </c>
      <c r="D404" s="8">
        <v>45770</v>
      </c>
      <c r="E404" s="11">
        <v>50000</v>
      </c>
    </row>
    <row r="405" spans="1:5" x14ac:dyDescent="0.3">
      <c r="A405" s="13" t="s">
        <v>17</v>
      </c>
      <c r="B405" s="4" t="s">
        <v>117</v>
      </c>
      <c r="C405" s="4" t="s">
        <v>217</v>
      </c>
      <c r="D405" s="8">
        <v>45770</v>
      </c>
      <c r="E405" s="11">
        <v>150000</v>
      </c>
    </row>
    <row r="406" spans="1:5" x14ac:dyDescent="0.3">
      <c r="A406" s="13" t="s">
        <v>24</v>
      </c>
      <c r="B406" s="4" t="s">
        <v>124</v>
      </c>
      <c r="C406" s="4" t="s">
        <v>224</v>
      </c>
      <c r="D406" s="8">
        <v>45770</v>
      </c>
      <c r="E406" s="11">
        <v>500000</v>
      </c>
    </row>
    <row r="407" spans="1:5" x14ac:dyDescent="0.3">
      <c r="A407" s="13" t="s">
        <v>42</v>
      </c>
      <c r="B407" s="4" t="s">
        <v>142</v>
      </c>
      <c r="C407" s="4" t="s">
        <v>242</v>
      </c>
      <c r="D407" s="8">
        <v>45770</v>
      </c>
      <c r="E407" s="11">
        <v>150000</v>
      </c>
    </row>
    <row r="408" spans="1:5" x14ac:dyDescent="0.3">
      <c r="A408" s="13" t="s">
        <v>8</v>
      </c>
      <c r="B408" s="4" t="s">
        <v>108</v>
      </c>
      <c r="C408" s="4" t="s">
        <v>208</v>
      </c>
      <c r="D408" s="8">
        <v>45771</v>
      </c>
      <c r="E408" s="11">
        <v>5000000</v>
      </c>
    </row>
    <row r="409" spans="1:5" x14ac:dyDescent="0.3">
      <c r="A409" s="13" t="s">
        <v>97</v>
      </c>
      <c r="B409" s="4" t="s">
        <v>197</v>
      </c>
      <c r="C409" s="4" t="s">
        <v>297</v>
      </c>
      <c r="D409" s="8">
        <v>45771</v>
      </c>
      <c r="E409" s="11">
        <v>50000</v>
      </c>
    </row>
    <row r="410" spans="1:5" x14ac:dyDescent="0.3">
      <c r="A410" s="13" t="s">
        <v>39</v>
      </c>
      <c r="B410" s="4" t="s">
        <v>139</v>
      </c>
      <c r="C410" s="4" t="s">
        <v>239</v>
      </c>
      <c r="D410" s="8">
        <v>45771</v>
      </c>
      <c r="E410" s="11">
        <v>150000</v>
      </c>
    </row>
    <row r="411" spans="1:5" x14ac:dyDescent="0.3">
      <c r="A411" s="13" t="s">
        <v>67</v>
      </c>
      <c r="B411" s="4" t="s">
        <v>167</v>
      </c>
      <c r="C411" s="4" t="s">
        <v>267</v>
      </c>
      <c r="D411" s="8">
        <v>45772</v>
      </c>
      <c r="E411" s="11">
        <v>200000</v>
      </c>
    </row>
    <row r="412" spans="1:5" x14ac:dyDescent="0.3">
      <c r="A412" s="13" t="s">
        <v>58</v>
      </c>
      <c r="B412" s="4" t="s">
        <v>158</v>
      </c>
      <c r="C412" s="4" t="s">
        <v>258</v>
      </c>
      <c r="D412" s="8">
        <v>45773</v>
      </c>
      <c r="E412" s="11">
        <v>1000000</v>
      </c>
    </row>
    <row r="413" spans="1:5" x14ac:dyDescent="0.3">
      <c r="A413" s="13" t="s">
        <v>24</v>
      </c>
      <c r="B413" s="4" t="s">
        <v>124</v>
      </c>
      <c r="C413" s="4" t="s">
        <v>224</v>
      </c>
      <c r="D413" s="8">
        <v>45773</v>
      </c>
      <c r="E413" s="11">
        <v>500000</v>
      </c>
    </row>
    <row r="414" spans="1:5" x14ac:dyDescent="0.3">
      <c r="A414" s="13" t="s">
        <v>91</v>
      </c>
      <c r="B414" s="4" t="s">
        <v>191</v>
      </c>
      <c r="C414" s="4" t="s">
        <v>291</v>
      </c>
      <c r="D414" s="8">
        <v>45774</v>
      </c>
      <c r="E414" s="11">
        <v>100000</v>
      </c>
    </row>
    <row r="415" spans="1:5" x14ac:dyDescent="0.3">
      <c r="A415" s="13" t="s">
        <v>95</v>
      </c>
      <c r="B415" s="4" t="s">
        <v>195</v>
      </c>
      <c r="C415" s="4" t="s">
        <v>295</v>
      </c>
      <c r="D415" s="8">
        <v>45774</v>
      </c>
      <c r="E415" s="11">
        <v>1000000</v>
      </c>
    </row>
    <row r="416" spans="1:5" x14ac:dyDescent="0.3">
      <c r="A416" s="13" t="s">
        <v>46</v>
      </c>
      <c r="B416" s="4" t="s">
        <v>146</v>
      </c>
      <c r="C416" s="4" t="s">
        <v>246</v>
      </c>
      <c r="D416" s="8">
        <v>45775</v>
      </c>
      <c r="E416" s="11">
        <v>5000000</v>
      </c>
    </row>
    <row r="417" spans="1:5" x14ac:dyDescent="0.3">
      <c r="A417" s="13" t="s">
        <v>14</v>
      </c>
      <c r="B417" s="4" t="s">
        <v>114</v>
      </c>
      <c r="C417" s="4" t="s">
        <v>214</v>
      </c>
      <c r="D417" s="8">
        <v>45775</v>
      </c>
      <c r="E417" s="11">
        <v>5000000</v>
      </c>
    </row>
    <row r="418" spans="1:5" x14ac:dyDescent="0.3">
      <c r="A418" s="13" t="s">
        <v>43</v>
      </c>
      <c r="B418" s="4" t="s">
        <v>143</v>
      </c>
      <c r="C418" s="4" t="s">
        <v>243</v>
      </c>
      <c r="D418" s="8">
        <v>45776</v>
      </c>
      <c r="E418" s="11">
        <v>2000000</v>
      </c>
    </row>
    <row r="419" spans="1:5" x14ac:dyDescent="0.3">
      <c r="A419" s="13" t="s">
        <v>22</v>
      </c>
      <c r="B419" s="4" t="s">
        <v>122</v>
      </c>
      <c r="C419" s="4" t="s">
        <v>222</v>
      </c>
      <c r="D419" s="8">
        <v>45776</v>
      </c>
      <c r="E419" s="11">
        <v>2000000</v>
      </c>
    </row>
    <row r="420" spans="1:5" x14ac:dyDescent="0.3">
      <c r="A420" s="13" t="s">
        <v>58</v>
      </c>
      <c r="B420" s="4" t="s">
        <v>158</v>
      </c>
      <c r="C420" s="4" t="s">
        <v>258</v>
      </c>
      <c r="D420" s="8">
        <v>45776</v>
      </c>
      <c r="E420" s="11">
        <v>50000</v>
      </c>
    </row>
    <row r="421" spans="1:5" x14ac:dyDescent="0.3">
      <c r="A421" s="13" t="s">
        <v>26</v>
      </c>
      <c r="B421" s="4" t="s">
        <v>126</v>
      </c>
      <c r="C421" s="4" t="s">
        <v>226</v>
      </c>
      <c r="D421" s="8">
        <v>45777</v>
      </c>
      <c r="E421" s="11">
        <v>3000000</v>
      </c>
    </row>
    <row r="422" spans="1:5" x14ac:dyDescent="0.3">
      <c r="A422" s="13" t="s">
        <v>62</v>
      </c>
      <c r="B422" s="4" t="s">
        <v>162</v>
      </c>
      <c r="C422" s="4" t="s">
        <v>262</v>
      </c>
      <c r="D422" s="8">
        <v>45777</v>
      </c>
      <c r="E422" s="11">
        <v>250000</v>
      </c>
    </row>
    <row r="423" spans="1:5" x14ac:dyDescent="0.3">
      <c r="A423" s="13" t="s">
        <v>94</v>
      </c>
      <c r="B423" s="4" t="s">
        <v>194</v>
      </c>
      <c r="C423" s="4" t="s">
        <v>294</v>
      </c>
      <c r="D423" s="8">
        <v>45777</v>
      </c>
      <c r="E423" s="11">
        <v>7000000</v>
      </c>
    </row>
    <row r="424" spans="1:5" x14ac:dyDescent="0.3">
      <c r="A424" s="13" t="s">
        <v>56</v>
      </c>
      <c r="B424" s="4" t="s">
        <v>156</v>
      </c>
      <c r="C424" s="4" t="s">
        <v>256</v>
      </c>
      <c r="D424" s="8">
        <v>45777</v>
      </c>
      <c r="E424" s="11">
        <v>7000000</v>
      </c>
    </row>
    <row r="425" spans="1:5" x14ac:dyDescent="0.3">
      <c r="A425" s="13" t="s">
        <v>69</v>
      </c>
      <c r="B425" s="4" t="s">
        <v>169</v>
      </c>
      <c r="C425" s="4" t="s">
        <v>269</v>
      </c>
      <c r="D425" s="8">
        <v>45777</v>
      </c>
      <c r="E425" s="11">
        <v>5000000</v>
      </c>
    </row>
    <row r="426" spans="1:5" x14ac:dyDescent="0.3">
      <c r="A426" s="13" t="s">
        <v>60</v>
      </c>
      <c r="B426" s="4" t="s">
        <v>160</v>
      </c>
      <c r="C426" s="4" t="s">
        <v>260</v>
      </c>
      <c r="D426" s="8">
        <v>45777</v>
      </c>
      <c r="E426" s="11">
        <v>150000</v>
      </c>
    </row>
    <row r="427" spans="1:5" x14ac:dyDescent="0.3">
      <c r="A427" s="13" t="s">
        <v>36</v>
      </c>
      <c r="B427" s="4" t="s">
        <v>136</v>
      </c>
      <c r="C427" s="4" t="s">
        <v>236</v>
      </c>
      <c r="D427" s="8">
        <v>45777</v>
      </c>
      <c r="E427" s="11">
        <v>1000000</v>
      </c>
    </row>
    <row r="428" spans="1:5" x14ac:dyDescent="0.3">
      <c r="A428" s="13" t="s">
        <v>72</v>
      </c>
      <c r="B428" s="4" t="s">
        <v>172</v>
      </c>
      <c r="C428" s="4" t="s">
        <v>272</v>
      </c>
      <c r="D428" s="8">
        <v>45778</v>
      </c>
      <c r="E428" s="11">
        <v>500000</v>
      </c>
    </row>
    <row r="429" spans="1:5" x14ac:dyDescent="0.3">
      <c r="A429" s="13" t="s">
        <v>34</v>
      </c>
      <c r="B429" s="4" t="s">
        <v>134</v>
      </c>
      <c r="C429" s="4" t="s">
        <v>234</v>
      </c>
      <c r="D429" s="8">
        <v>45778</v>
      </c>
      <c r="E429" s="11">
        <v>200000</v>
      </c>
    </row>
    <row r="430" spans="1:5" x14ac:dyDescent="0.3">
      <c r="A430" s="13" t="s">
        <v>60</v>
      </c>
      <c r="B430" s="4" t="s">
        <v>160</v>
      </c>
      <c r="C430" s="4" t="s">
        <v>260</v>
      </c>
      <c r="D430" s="8">
        <v>45779</v>
      </c>
      <c r="E430" s="11">
        <v>200000</v>
      </c>
    </row>
    <row r="431" spans="1:5" x14ac:dyDescent="0.3">
      <c r="A431" s="13" t="s">
        <v>48</v>
      </c>
      <c r="B431" s="4" t="s">
        <v>148</v>
      </c>
      <c r="C431" s="4" t="s">
        <v>248</v>
      </c>
      <c r="D431" s="8">
        <v>45779</v>
      </c>
      <c r="E431" s="11">
        <v>50000</v>
      </c>
    </row>
    <row r="432" spans="1:5" x14ac:dyDescent="0.3">
      <c r="A432" s="13" t="s">
        <v>89</v>
      </c>
      <c r="B432" s="4" t="s">
        <v>189</v>
      </c>
      <c r="C432" s="4" t="s">
        <v>289</v>
      </c>
      <c r="D432" s="8">
        <v>45779</v>
      </c>
      <c r="E432" s="11">
        <v>20000000</v>
      </c>
    </row>
    <row r="433" spans="1:5" x14ac:dyDescent="0.3">
      <c r="A433" s="13" t="s">
        <v>48</v>
      </c>
      <c r="B433" s="4" t="s">
        <v>148</v>
      </c>
      <c r="C433" s="4" t="s">
        <v>248</v>
      </c>
      <c r="D433" s="8">
        <v>45779</v>
      </c>
      <c r="E433" s="11">
        <v>100000</v>
      </c>
    </row>
    <row r="434" spans="1:5" x14ac:dyDescent="0.3">
      <c r="A434" s="13" t="s">
        <v>100</v>
      </c>
      <c r="B434" s="4" t="s">
        <v>200</v>
      </c>
      <c r="C434" s="4" t="s">
        <v>300</v>
      </c>
      <c r="D434" s="8">
        <v>45780</v>
      </c>
      <c r="E434" s="11">
        <v>150000</v>
      </c>
    </row>
    <row r="435" spans="1:5" x14ac:dyDescent="0.3">
      <c r="A435" s="13" t="s">
        <v>81</v>
      </c>
      <c r="B435" s="4" t="s">
        <v>181</v>
      </c>
      <c r="C435" s="4" t="s">
        <v>281</v>
      </c>
      <c r="D435" s="8">
        <v>45780</v>
      </c>
      <c r="E435" s="11">
        <v>20000000</v>
      </c>
    </row>
    <row r="436" spans="1:5" x14ac:dyDescent="0.3">
      <c r="A436" s="13" t="s">
        <v>81</v>
      </c>
      <c r="B436" s="4" t="s">
        <v>181</v>
      </c>
      <c r="C436" s="4" t="s">
        <v>281</v>
      </c>
      <c r="D436" s="8">
        <v>45780</v>
      </c>
      <c r="E436" s="11">
        <v>20000000</v>
      </c>
    </row>
    <row r="437" spans="1:5" x14ac:dyDescent="0.3">
      <c r="A437" s="13" t="s">
        <v>99</v>
      </c>
      <c r="B437" s="4" t="s">
        <v>199</v>
      </c>
      <c r="C437" s="4" t="s">
        <v>299</v>
      </c>
      <c r="D437" s="8">
        <v>45780</v>
      </c>
      <c r="E437" s="11">
        <v>250000</v>
      </c>
    </row>
    <row r="438" spans="1:5" x14ac:dyDescent="0.3">
      <c r="A438" s="13" t="s">
        <v>78</v>
      </c>
      <c r="B438" s="4" t="s">
        <v>178</v>
      </c>
      <c r="C438" s="4" t="s">
        <v>278</v>
      </c>
      <c r="D438" s="8">
        <v>45781</v>
      </c>
      <c r="E438" s="11">
        <v>3000000</v>
      </c>
    </row>
    <row r="439" spans="1:5" x14ac:dyDescent="0.3">
      <c r="A439" s="13" t="s">
        <v>65</v>
      </c>
      <c r="B439" s="4" t="s">
        <v>165</v>
      </c>
      <c r="C439" s="4" t="s">
        <v>265</v>
      </c>
      <c r="D439" s="8">
        <v>45781</v>
      </c>
      <c r="E439" s="11">
        <v>7000000</v>
      </c>
    </row>
    <row r="440" spans="1:5" x14ac:dyDescent="0.3">
      <c r="A440" s="13" t="s">
        <v>5</v>
      </c>
      <c r="B440" s="4" t="s">
        <v>105</v>
      </c>
      <c r="C440" s="4" t="s">
        <v>205</v>
      </c>
      <c r="D440" s="8">
        <v>45781</v>
      </c>
      <c r="E440" s="11">
        <v>10000000</v>
      </c>
    </row>
    <row r="441" spans="1:5" x14ac:dyDescent="0.3">
      <c r="A441" s="13" t="s">
        <v>97</v>
      </c>
      <c r="B441" s="4" t="s">
        <v>197</v>
      </c>
      <c r="C441" s="4" t="s">
        <v>297</v>
      </c>
      <c r="D441" s="8">
        <v>45781</v>
      </c>
      <c r="E441" s="11">
        <v>5000000</v>
      </c>
    </row>
    <row r="442" spans="1:5" x14ac:dyDescent="0.3">
      <c r="A442" s="13" t="s">
        <v>21</v>
      </c>
      <c r="B442" s="4" t="s">
        <v>121</v>
      </c>
      <c r="C442" s="4" t="s">
        <v>221</v>
      </c>
      <c r="D442" s="8">
        <v>45782</v>
      </c>
      <c r="E442" s="11">
        <v>7000000</v>
      </c>
    </row>
    <row r="443" spans="1:5" x14ac:dyDescent="0.3">
      <c r="A443" s="13" t="s">
        <v>95</v>
      </c>
      <c r="B443" s="4" t="s">
        <v>195</v>
      </c>
      <c r="C443" s="4" t="s">
        <v>295</v>
      </c>
      <c r="D443" s="8">
        <v>45782</v>
      </c>
      <c r="E443" s="11">
        <v>2000000</v>
      </c>
    </row>
    <row r="444" spans="1:5" x14ac:dyDescent="0.3">
      <c r="A444" s="13" t="s">
        <v>54</v>
      </c>
      <c r="B444" s="4" t="s">
        <v>154</v>
      </c>
      <c r="C444" s="4" t="s">
        <v>254</v>
      </c>
      <c r="D444" s="8">
        <v>45782</v>
      </c>
      <c r="E444" s="11">
        <v>200000</v>
      </c>
    </row>
    <row r="445" spans="1:5" x14ac:dyDescent="0.3">
      <c r="A445" s="13" t="s">
        <v>46</v>
      </c>
      <c r="B445" s="4" t="s">
        <v>146</v>
      </c>
      <c r="C445" s="4" t="s">
        <v>246</v>
      </c>
      <c r="D445" s="8">
        <v>45782</v>
      </c>
      <c r="E445" s="11">
        <v>7000000</v>
      </c>
    </row>
    <row r="446" spans="1:5" x14ac:dyDescent="0.3">
      <c r="A446" s="13" t="s">
        <v>53</v>
      </c>
      <c r="B446" s="4" t="s">
        <v>153</v>
      </c>
      <c r="C446" s="4" t="s">
        <v>253</v>
      </c>
      <c r="D446" s="8">
        <v>45782</v>
      </c>
      <c r="E446" s="11">
        <v>150000</v>
      </c>
    </row>
    <row r="447" spans="1:5" x14ac:dyDescent="0.3">
      <c r="A447" s="13" t="s">
        <v>97</v>
      </c>
      <c r="B447" s="4" t="s">
        <v>197</v>
      </c>
      <c r="C447" s="4" t="s">
        <v>297</v>
      </c>
      <c r="D447" s="8">
        <v>45782</v>
      </c>
      <c r="E447" s="11">
        <v>250000</v>
      </c>
    </row>
    <row r="448" spans="1:5" x14ac:dyDescent="0.3">
      <c r="A448" s="13" t="s">
        <v>12</v>
      </c>
      <c r="B448" s="4" t="s">
        <v>112</v>
      </c>
      <c r="C448" s="4" t="s">
        <v>212</v>
      </c>
      <c r="D448" s="8">
        <v>45782</v>
      </c>
      <c r="E448" s="11">
        <v>200000</v>
      </c>
    </row>
    <row r="449" spans="1:5" x14ac:dyDescent="0.3">
      <c r="A449" s="13" t="s">
        <v>91</v>
      </c>
      <c r="B449" s="4" t="s">
        <v>191</v>
      </c>
      <c r="C449" s="4" t="s">
        <v>291</v>
      </c>
      <c r="D449" s="8">
        <v>45783</v>
      </c>
      <c r="E449" s="11">
        <v>250000</v>
      </c>
    </row>
    <row r="450" spans="1:5" x14ac:dyDescent="0.3">
      <c r="A450" s="13" t="s">
        <v>47</v>
      </c>
      <c r="B450" s="4" t="s">
        <v>147</v>
      </c>
      <c r="C450" s="4" t="s">
        <v>247</v>
      </c>
      <c r="D450" s="8">
        <v>45783</v>
      </c>
      <c r="E450" s="11">
        <v>2000000</v>
      </c>
    </row>
    <row r="451" spans="1:5" x14ac:dyDescent="0.3">
      <c r="A451" s="13" t="s">
        <v>21</v>
      </c>
      <c r="B451" s="4" t="s">
        <v>121</v>
      </c>
      <c r="C451" s="4" t="s">
        <v>221</v>
      </c>
      <c r="D451" s="8">
        <v>45783</v>
      </c>
      <c r="E451" s="11">
        <v>200000</v>
      </c>
    </row>
    <row r="452" spans="1:5" x14ac:dyDescent="0.3">
      <c r="A452" s="13" t="s">
        <v>33</v>
      </c>
      <c r="B452" s="4" t="s">
        <v>133</v>
      </c>
      <c r="C452" s="4" t="s">
        <v>233</v>
      </c>
      <c r="D452" s="8">
        <v>45783</v>
      </c>
      <c r="E452" s="11">
        <v>200000</v>
      </c>
    </row>
    <row r="453" spans="1:5" x14ac:dyDescent="0.3">
      <c r="A453" s="13" t="s">
        <v>14</v>
      </c>
      <c r="B453" s="4" t="s">
        <v>114</v>
      </c>
      <c r="C453" s="4" t="s">
        <v>214</v>
      </c>
      <c r="D453" s="8">
        <v>45783</v>
      </c>
      <c r="E453" s="11">
        <v>5000000</v>
      </c>
    </row>
    <row r="454" spans="1:5" x14ac:dyDescent="0.3">
      <c r="A454" s="13" t="s">
        <v>22</v>
      </c>
      <c r="B454" s="4" t="s">
        <v>122</v>
      </c>
      <c r="C454" s="4" t="s">
        <v>222</v>
      </c>
      <c r="D454" s="8">
        <v>45784</v>
      </c>
      <c r="E454" s="11">
        <v>100000</v>
      </c>
    </row>
    <row r="455" spans="1:5" x14ac:dyDescent="0.3">
      <c r="A455" s="13" t="s">
        <v>43</v>
      </c>
      <c r="B455" s="4" t="s">
        <v>143</v>
      </c>
      <c r="C455" s="4" t="s">
        <v>243</v>
      </c>
      <c r="D455" s="8">
        <v>45784</v>
      </c>
      <c r="E455" s="11">
        <v>20000000</v>
      </c>
    </row>
    <row r="456" spans="1:5" x14ac:dyDescent="0.3">
      <c r="A456" s="13" t="s">
        <v>49</v>
      </c>
      <c r="B456" s="4" t="s">
        <v>149</v>
      </c>
      <c r="C456" s="4" t="s">
        <v>249</v>
      </c>
      <c r="D456" s="8">
        <v>45784</v>
      </c>
      <c r="E456" s="11">
        <v>250000</v>
      </c>
    </row>
    <row r="457" spans="1:5" x14ac:dyDescent="0.3">
      <c r="A457" s="13" t="s">
        <v>76</v>
      </c>
      <c r="B457" s="4" t="s">
        <v>176</v>
      </c>
      <c r="C457" s="4" t="s">
        <v>276</v>
      </c>
      <c r="D457" s="8">
        <v>45784</v>
      </c>
      <c r="E457" s="11">
        <v>5000000</v>
      </c>
    </row>
    <row r="458" spans="1:5" x14ac:dyDescent="0.3">
      <c r="A458" s="13" t="s">
        <v>29</v>
      </c>
      <c r="B458" s="4" t="s">
        <v>129</v>
      </c>
      <c r="C458" s="4" t="s">
        <v>229</v>
      </c>
      <c r="D458" s="8">
        <v>45785</v>
      </c>
      <c r="E458" s="11">
        <v>2000000</v>
      </c>
    </row>
    <row r="459" spans="1:5" x14ac:dyDescent="0.3">
      <c r="A459" s="13" t="s">
        <v>93</v>
      </c>
      <c r="B459" s="4" t="s">
        <v>193</v>
      </c>
      <c r="C459" s="4" t="s">
        <v>293</v>
      </c>
      <c r="D459" s="8">
        <v>45786</v>
      </c>
      <c r="E459" s="11">
        <v>2000000</v>
      </c>
    </row>
    <row r="460" spans="1:5" x14ac:dyDescent="0.3">
      <c r="A460" s="13" t="s">
        <v>91</v>
      </c>
      <c r="B460" s="4" t="s">
        <v>191</v>
      </c>
      <c r="C460" s="4" t="s">
        <v>291</v>
      </c>
      <c r="D460" s="8">
        <v>45786</v>
      </c>
      <c r="E460" s="11">
        <v>20000000</v>
      </c>
    </row>
    <row r="461" spans="1:5" x14ac:dyDescent="0.3">
      <c r="A461" s="13" t="s">
        <v>74</v>
      </c>
      <c r="B461" s="4" t="s">
        <v>174</v>
      </c>
      <c r="C461" s="4" t="s">
        <v>274</v>
      </c>
      <c r="D461" s="8">
        <v>45786</v>
      </c>
      <c r="E461" s="11">
        <v>7000000</v>
      </c>
    </row>
    <row r="462" spans="1:5" x14ac:dyDescent="0.3">
      <c r="A462" s="13" t="s">
        <v>17</v>
      </c>
      <c r="B462" s="4" t="s">
        <v>117</v>
      </c>
      <c r="C462" s="4" t="s">
        <v>217</v>
      </c>
      <c r="D462" s="8">
        <v>45787</v>
      </c>
      <c r="E462" s="11">
        <v>500000</v>
      </c>
    </row>
    <row r="463" spans="1:5" x14ac:dyDescent="0.3">
      <c r="A463" s="13" t="s">
        <v>78</v>
      </c>
      <c r="B463" s="4" t="s">
        <v>178</v>
      </c>
      <c r="C463" s="4" t="s">
        <v>278</v>
      </c>
      <c r="D463" s="8">
        <v>45787</v>
      </c>
      <c r="E463" s="11">
        <v>3000000</v>
      </c>
    </row>
    <row r="464" spans="1:5" x14ac:dyDescent="0.3">
      <c r="A464" s="13" t="s">
        <v>38</v>
      </c>
      <c r="B464" s="4" t="s">
        <v>138</v>
      </c>
      <c r="C464" s="4" t="s">
        <v>238</v>
      </c>
      <c r="D464" s="8">
        <v>45787</v>
      </c>
      <c r="E464" s="11">
        <v>20000000</v>
      </c>
    </row>
    <row r="465" spans="1:5" x14ac:dyDescent="0.3">
      <c r="A465" s="13" t="s">
        <v>92</v>
      </c>
      <c r="B465" s="4" t="s">
        <v>192</v>
      </c>
      <c r="C465" s="4" t="s">
        <v>292</v>
      </c>
      <c r="D465" s="8">
        <v>45787</v>
      </c>
      <c r="E465" s="11">
        <v>10000000</v>
      </c>
    </row>
    <row r="466" spans="1:5" x14ac:dyDescent="0.3">
      <c r="A466" s="13" t="s">
        <v>35</v>
      </c>
      <c r="B466" s="4" t="s">
        <v>135</v>
      </c>
      <c r="C466" s="4" t="s">
        <v>235</v>
      </c>
      <c r="D466" s="8">
        <v>45788</v>
      </c>
      <c r="E466" s="11">
        <v>20000000</v>
      </c>
    </row>
    <row r="467" spans="1:5" x14ac:dyDescent="0.3">
      <c r="A467" s="13" t="s">
        <v>33</v>
      </c>
      <c r="B467" s="4" t="s">
        <v>133</v>
      </c>
      <c r="C467" s="4" t="s">
        <v>233</v>
      </c>
      <c r="D467" s="8">
        <v>45788</v>
      </c>
      <c r="E467" s="11">
        <v>500000</v>
      </c>
    </row>
    <row r="468" spans="1:5" x14ac:dyDescent="0.3">
      <c r="A468" s="13" t="s">
        <v>39</v>
      </c>
      <c r="B468" s="4" t="s">
        <v>139</v>
      </c>
      <c r="C468" s="4" t="s">
        <v>239</v>
      </c>
      <c r="D468" s="8">
        <v>45788</v>
      </c>
      <c r="E468" s="11">
        <v>100000</v>
      </c>
    </row>
    <row r="469" spans="1:5" x14ac:dyDescent="0.3">
      <c r="A469" s="13" t="s">
        <v>6</v>
      </c>
      <c r="B469" s="4" t="s">
        <v>106</v>
      </c>
      <c r="C469" s="4" t="s">
        <v>206</v>
      </c>
      <c r="D469" s="8">
        <v>45788</v>
      </c>
      <c r="E469" s="11">
        <v>7000000</v>
      </c>
    </row>
    <row r="470" spans="1:5" x14ac:dyDescent="0.3">
      <c r="A470" s="13" t="s">
        <v>16</v>
      </c>
      <c r="B470" s="4" t="s">
        <v>116</v>
      </c>
      <c r="C470" s="4" t="s">
        <v>216</v>
      </c>
      <c r="D470" s="8">
        <v>45788</v>
      </c>
      <c r="E470" s="11">
        <v>5000000</v>
      </c>
    </row>
    <row r="471" spans="1:5" x14ac:dyDescent="0.3">
      <c r="A471" s="13" t="s">
        <v>60</v>
      </c>
      <c r="B471" s="4" t="s">
        <v>160</v>
      </c>
      <c r="C471" s="4" t="s">
        <v>260</v>
      </c>
      <c r="D471" s="8">
        <v>45789</v>
      </c>
      <c r="E471" s="11">
        <v>5000000</v>
      </c>
    </row>
    <row r="472" spans="1:5" x14ac:dyDescent="0.3">
      <c r="A472" s="13" t="s">
        <v>85</v>
      </c>
      <c r="B472" s="4" t="s">
        <v>185</v>
      </c>
      <c r="C472" s="4" t="s">
        <v>285</v>
      </c>
      <c r="D472" s="8">
        <v>45789</v>
      </c>
      <c r="E472" s="11">
        <v>3000000</v>
      </c>
    </row>
    <row r="473" spans="1:5" x14ac:dyDescent="0.3">
      <c r="A473" s="13" t="s">
        <v>87</v>
      </c>
      <c r="B473" s="4" t="s">
        <v>187</v>
      </c>
      <c r="C473" s="4" t="s">
        <v>287</v>
      </c>
      <c r="D473" s="8">
        <v>45789</v>
      </c>
      <c r="E473" s="11">
        <v>150000</v>
      </c>
    </row>
    <row r="474" spans="1:5" x14ac:dyDescent="0.3">
      <c r="A474" s="13" t="s">
        <v>9</v>
      </c>
      <c r="B474" s="4" t="s">
        <v>109</v>
      </c>
      <c r="C474" s="4" t="s">
        <v>209</v>
      </c>
      <c r="D474" s="8">
        <v>45789</v>
      </c>
      <c r="E474" s="11">
        <v>150000</v>
      </c>
    </row>
    <row r="475" spans="1:5" x14ac:dyDescent="0.3">
      <c r="A475" s="13" t="s">
        <v>75</v>
      </c>
      <c r="B475" s="4" t="s">
        <v>175</v>
      </c>
      <c r="C475" s="4" t="s">
        <v>275</v>
      </c>
      <c r="D475" s="8">
        <v>45789</v>
      </c>
      <c r="E475" s="11">
        <v>2000000</v>
      </c>
    </row>
    <row r="476" spans="1:5" x14ac:dyDescent="0.3">
      <c r="A476" s="13" t="s">
        <v>13</v>
      </c>
      <c r="B476" s="4" t="s">
        <v>113</v>
      </c>
      <c r="C476" s="4" t="s">
        <v>213</v>
      </c>
      <c r="D476" s="8">
        <v>45789</v>
      </c>
      <c r="E476" s="11">
        <v>200000</v>
      </c>
    </row>
    <row r="477" spans="1:5" x14ac:dyDescent="0.3">
      <c r="A477" s="13" t="s">
        <v>95</v>
      </c>
      <c r="B477" s="4" t="s">
        <v>195</v>
      </c>
      <c r="C477" s="4" t="s">
        <v>295</v>
      </c>
      <c r="D477" s="8">
        <v>45789</v>
      </c>
      <c r="E477" s="11">
        <v>3000000</v>
      </c>
    </row>
    <row r="478" spans="1:5" x14ac:dyDescent="0.3">
      <c r="A478" s="13" t="s">
        <v>42</v>
      </c>
      <c r="B478" s="4" t="s">
        <v>142</v>
      </c>
      <c r="C478" s="4" t="s">
        <v>242</v>
      </c>
      <c r="D478" s="8">
        <v>45789</v>
      </c>
      <c r="E478" s="11">
        <v>500000</v>
      </c>
    </row>
    <row r="479" spans="1:5" x14ac:dyDescent="0.3">
      <c r="A479" s="13" t="s">
        <v>88</v>
      </c>
      <c r="B479" s="4" t="s">
        <v>188</v>
      </c>
      <c r="C479" s="4" t="s">
        <v>288</v>
      </c>
      <c r="D479" s="8">
        <v>45790</v>
      </c>
      <c r="E479" s="11">
        <v>20000000</v>
      </c>
    </row>
    <row r="480" spans="1:5" x14ac:dyDescent="0.3">
      <c r="A480" s="13" t="s">
        <v>94</v>
      </c>
      <c r="B480" s="4" t="s">
        <v>194</v>
      </c>
      <c r="C480" s="4" t="s">
        <v>294</v>
      </c>
      <c r="D480" s="8">
        <v>45790</v>
      </c>
      <c r="E480" s="11">
        <v>100000</v>
      </c>
    </row>
    <row r="481" spans="1:5" x14ac:dyDescent="0.3">
      <c r="A481" s="13" t="s">
        <v>20</v>
      </c>
      <c r="B481" s="4" t="s">
        <v>120</v>
      </c>
      <c r="C481" s="4" t="s">
        <v>220</v>
      </c>
      <c r="D481" s="8">
        <v>45790</v>
      </c>
      <c r="E481" s="11">
        <v>5000000</v>
      </c>
    </row>
    <row r="482" spans="1:5" x14ac:dyDescent="0.3">
      <c r="A482" s="13" t="s">
        <v>98</v>
      </c>
      <c r="B482" s="4" t="s">
        <v>198</v>
      </c>
      <c r="C482" s="4" t="s">
        <v>298</v>
      </c>
      <c r="D482" s="8">
        <v>45791</v>
      </c>
      <c r="E482" s="11">
        <v>3000000</v>
      </c>
    </row>
    <row r="483" spans="1:5" x14ac:dyDescent="0.3">
      <c r="A483" s="13" t="s">
        <v>23</v>
      </c>
      <c r="B483" s="4" t="s">
        <v>123</v>
      </c>
      <c r="C483" s="4" t="s">
        <v>223</v>
      </c>
      <c r="D483" s="8">
        <v>45791</v>
      </c>
      <c r="E483" s="11">
        <v>500000</v>
      </c>
    </row>
    <row r="484" spans="1:5" x14ac:dyDescent="0.3">
      <c r="A484" s="13" t="s">
        <v>42</v>
      </c>
      <c r="B484" s="4" t="s">
        <v>142</v>
      </c>
      <c r="C484" s="4" t="s">
        <v>242</v>
      </c>
      <c r="D484" s="8">
        <v>45792</v>
      </c>
      <c r="E484" s="11">
        <v>20000000</v>
      </c>
    </row>
    <row r="485" spans="1:5" x14ac:dyDescent="0.3">
      <c r="A485" s="13" t="s">
        <v>23</v>
      </c>
      <c r="B485" s="4" t="s">
        <v>123</v>
      </c>
      <c r="C485" s="4" t="s">
        <v>223</v>
      </c>
      <c r="D485" s="8">
        <v>45792</v>
      </c>
      <c r="E485" s="11">
        <v>200000</v>
      </c>
    </row>
    <row r="486" spans="1:5" x14ac:dyDescent="0.3">
      <c r="A486" s="13" t="s">
        <v>91</v>
      </c>
      <c r="B486" s="4" t="s">
        <v>191</v>
      </c>
      <c r="C486" s="4" t="s">
        <v>291</v>
      </c>
      <c r="D486" s="8">
        <v>45792</v>
      </c>
      <c r="E486" s="11">
        <v>200000</v>
      </c>
    </row>
    <row r="487" spans="1:5" x14ac:dyDescent="0.3">
      <c r="A487" s="13" t="s">
        <v>90</v>
      </c>
      <c r="B487" s="4" t="s">
        <v>190</v>
      </c>
      <c r="C487" s="4" t="s">
        <v>290</v>
      </c>
      <c r="D487" s="8">
        <v>45792</v>
      </c>
      <c r="E487" s="11">
        <v>3000000</v>
      </c>
    </row>
    <row r="488" spans="1:5" x14ac:dyDescent="0.3">
      <c r="A488" s="13" t="s">
        <v>31</v>
      </c>
      <c r="B488" s="4" t="s">
        <v>131</v>
      </c>
      <c r="C488" s="4" t="s">
        <v>231</v>
      </c>
      <c r="D488" s="8">
        <v>45793</v>
      </c>
      <c r="E488" s="11">
        <v>100000</v>
      </c>
    </row>
    <row r="489" spans="1:5" x14ac:dyDescent="0.3">
      <c r="A489" s="13" t="s">
        <v>74</v>
      </c>
      <c r="B489" s="4" t="s">
        <v>174</v>
      </c>
      <c r="C489" s="4" t="s">
        <v>274</v>
      </c>
      <c r="D489" s="8">
        <v>45793</v>
      </c>
      <c r="E489" s="11">
        <v>250000</v>
      </c>
    </row>
    <row r="490" spans="1:5" x14ac:dyDescent="0.3">
      <c r="A490" s="13" t="s">
        <v>56</v>
      </c>
      <c r="B490" s="4" t="s">
        <v>156</v>
      </c>
      <c r="C490" s="4" t="s">
        <v>256</v>
      </c>
      <c r="D490" s="8">
        <v>45793</v>
      </c>
      <c r="E490" s="11">
        <v>2000000</v>
      </c>
    </row>
    <row r="491" spans="1:5" x14ac:dyDescent="0.3">
      <c r="A491" s="13" t="s">
        <v>91</v>
      </c>
      <c r="B491" s="4" t="s">
        <v>191</v>
      </c>
      <c r="C491" s="4" t="s">
        <v>291</v>
      </c>
      <c r="D491" s="8">
        <v>45794</v>
      </c>
      <c r="E491" s="11">
        <v>50000</v>
      </c>
    </row>
    <row r="492" spans="1:5" x14ac:dyDescent="0.3">
      <c r="A492" s="13" t="s">
        <v>81</v>
      </c>
      <c r="B492" s="4" t="s">
        <v>181</v>
      </c>
      <c r="C492" s="4" t="s">
        <v>281</v>
      </c>
      <c r="D492" s="8">
        <v>45794</v>
      </c>
      <c r="E492" s="11">
        <v>7000000</v>
      </c>
    </row>
    <row r="493" spans="1:5" x14ac:dyDescent="0.3">
      <c r="A493" s="13" t="s">
        <v>66</v>
      </c>
      <c r="B493" s="4" t="s">
        <v>166</v>
      </c>
      <c r="C493" s="4" t="s">
        <v>266</v>
      </c>
      <c r="D493" s="8">
        <v>45794</v>
      </c>
      <c r="E493" s="11">
        <v>20000000</v>
      </c>
    </row>
    <row r="494" spans="1:5" x14ac:dyDescent="0.3">
      <c r="A494" s="13" t="s">
        <v>40</v>
      </c>
      <c r="B494" s="4" t="s">
        <v>140</v>
      </c>
      <c r="C494" s="4" t="s">
        <v>240</v>
      </c>
      <c r="D494" s="8">
        <v>45795</v>
      </c>
      <c r="E494" s="11">
        <v>200000</v>
      </c>
    </row>
    <row r="495" spans="1:5" x14ac:dyDescent="0.3">
      <c r="A495" s="13" t="s">
        <v>10</v>
      </c>
      <c r="B495" s="4" t="s">
        <v>110</v>
      </c>
      <c r="C495" s="4" t="s">
        <v>210</v>
      </c>
      <c r="D495" s="8">
        <v>45795</v>
      </c>
      <c r="E495" s="11">
        <v>200000</v>
      </c>
    </row>
    <row r="496" spans="1:5" x14ac:dyDescent="0.3">
      <c r="A496" s="13" t="s">
        <v>21</v>
      </c>
      <c r="B496" s="4" t="s">
        <v>121</v>
      </c>
      <c r="C496" s="4" t="s">
        <v>221</v>
      </c>
      <c r="D496" s="8">
        <v>45795</v>
      </c>
      <c r="E496" s="11">
        <v>250000</v>
      </c>
    </row>
    <row r="497" spans="1:5" x14ac:dyDescent="0.3">
      <c r="A497" s="13" t="s">
        <v>20</v>
      </c>
      <c r="B497" s="4" t="s">
        <v>120</v>
      </c>
      <c r="C497" s="4" t="s">
        <v>220</v>
      </c>
      <c r="D497" s="8">
        <v>45795</v>
      </c>
      <c r="E497" s="11">
        <v>5000000</v>
      </c>
    </row>
    <row r="498" spans="1:5" x14ac:dyDescent="0.3">
      <c r="A498" s="13" t="s">
        <v>104</v>
      </c>
      <c r="B498" s="4" t="s">
        <v>204</v>
      </c>
      <c r="C498" s="4" t="s">
        <v>304</v>
      </c>
      <c r="D498" s="8">
        <v>45795</v>
      </c>
      <c r="E498" s="11">
        <v>10000000</v>
      </c>
    </row>
    <row r="499" spans="1:5" x14ac:dyDescent="0.3">
      <c r="A499" s="13" t="s">
        <v>18</v>
      </c>
      <c r="B499" s="4" t="s">
        <v>118</v>
      </c>
      <c r="C499" s="4" t="s">
        <v>218</v>
      </c>
      <c r="D499" s="8">
        <v>45795</v>
      </c>
      <c r="E499" s="11">
        <v>1000000</v>
      </c>
    </row>
    <row r="500" spans="1:5" x14ac:dyDescent="0.3">
      <c r="A500" s="13" t="s">
        <v>61</v>
      </c>
      <c r="B500" s="4" t="s">
        <v>161</v>
      </c>
      <c r="C500" s="4" t="s">
        <v>261</v>
      </c>
      <c r="D500" s="8">
        <v>45795</v>
      </c>
      <c r="E500" s="11">
        <v>7000000</v>
      </c>
    </row>
    <row r="501" spans="1:5" x14ac:dyDescent="0.3">
      <c r="A501" s="13" t="s">
        <v>87</v>
      </c>
      <c r="B501" s="4" t="s">
        <v>187</v>
      </c>
      <c r="C501" s="4" t="s">
        <v>287</v>
      </c>
      <c r="D501" s="8">
        <v>45795</v>
      </c>
      <c r="E501" s="11">
        <v>200000</v>
      </c>
    </row>
    <row r="502" spans="1:5" x14ac:dyDescent="0.3">
      <c r="A502" s="13" t="s">
        <v>85</v>
      </c>
      <c r="B502" s="4" t="s">
        <v>185</v>
      </c>
      <c r="C502" s="4" t="s">
        <v>285</v>
      </c>
      <c r="D502" s="8">
        <v>45796</v>
      </c>
      <c r="E502" s="11">
        <v>2000000</v>
      </c>
    </row>
    <row r="503" spans="1:5" x14ac:dyDescent="0.3">
      <c r="A503" s="13" t="s">
        <v>95</v>
      </c>
      <c r="B503" s="4" t="s">
        <v>195</v>
      </c>
      <c r="C503" s="4" t="s">
        <v>295</v>
      </c>
      <c r="D503" s="8">
        <v>45796</v>
      </c>
      <c r="E503" s="11">
        <v>250000</v>
      </c>
    </row>
    <row r="504" spans="1:5" x14ac:dyDescent="0.3">
      <c r="A504" s="13" t="s">
        <v>24</v>
      </c>
      <c r="B504" s="4" t="s">
        <v>124</v>
      </c>
      <c r="C504" s="4" t="s">
        <v>224</v>
      </c>
      <c r="D504" s="8">
        <v>45796</v>
      </c>
      <c r="E504" s="11">
        <v>7000000</v>
      </c>
    </row>
    <row r="505" spans="1:5" x14ac:dyDescent="0.3">
      <c r="A505" s="13" t="s">
        <v>94</v>
      </c>
      <c r="B505" s="4" t="s">
        <v>194</v>
      </c>
      <c r="C505" s="4" t="s">
        <v>294</v>
      </c>
      <c r="D505" s="8">
        <v>45796</v>
      </c>
      <c r="E505" s="11">
        <v>50000</v>
      </c>
    </row>
    <row r="506" spans="1:5" x14ac:dyDescent="0.3">
      <c r="A506" s="13" t="s">
        <v>53</v>
      </c>
      <c r="B506" s="4" t="s">
        <v>153</v>
      </c>
      <c r="C506" s="4" t="s">
        <v>253</v>
      </c>
      <c r="D506" s="8">
        <v>45797</v>
      </c>
      <c r="E506" s="11">
        <v>50000</v>
      </c>
    </row>
    <row r="507" spans="1:5" x14ac:dyDescent="0.3">
      <c r="A507" s="13" t="s">
        <v>15</v>
      </c>
      <c r="B507" s="4" t="s">
        <v>115</v>
      </c>
      <c r="C507" s="4" t="s">
        <v>215</v>
      </c>
      <c r="D507" s="8">
        <v>45797</v>
      </c>
      <c r="E507" s="11">
        <v>2000000</v>
      </c>
    </row>
    <row r="508" spans="1:5" x14ac:dyDescent="0.3">
      <c r="A508" s="13" t="s">
        <v>24</v>
      </c>
      <c r="B508" s="4" t="s">
        <v>124</v>
      </c>
      <c r="C508" s="4" t="s">
        <v>224</v>
      </c>
      <c r="D508" s="8">
        <v>45798</v>
      </c>
      <c r="E508" s="11">
        <v>2000000</v>
      </c>
    </row>
    <row r="509" spans="1:5" x14ac:dyDescent="0.3">
      <c r="A509" s="13" t="s">
        <v>95</v>
      </c>
      <c r="B509" s="4" t="s">
        <v>195</v>
      </c>
      <c r="C509" s="4" t="s">
        <v>295</v>
      </c>
      <c r="D509" s="8">
        <v>45798</v>
      </c>
      <c r="E509" s="11">
        <v>50000</v>
      </c>
    </row>
    <row r="510" spans="1:5" x14ac:dyDescent="0.3">
      <c r="A510" s="13" t="s">
        <v>54</v>
      </c>
      <c r="B510" s="4" t="s">
        <v>154</v>
      </c>
      <c r="C510" s="4" t="s">
        <v>254</v>
      </c>
      <c r="D510" s="8">
        <v>45799</v>
      </c>
      <c r="E510" s="11">
        <v>100000</v>
      </c>
    </row>
    <row r="511" spans="1:5" x14ac:dyDescent="0.3">
      <c r="A511" s="13" t="s">
        <v>10</v>
      </c>
      <c r="B511" s="4" t="s">
        <v>110</v>
      </c>
      <c r="C511" s="4" t="s">
        <v>210</v>
      </c>
      <c r="D511" s="8">
        <v>45799</v>
      </c>
      <c r="E511" s="11">
        <v>10000000</v>
      </c>
    </row>
    <row r="512" spans="1:5" x14ac:dyDescent="0.3">
      <c r="A512" s="13" t="s">
        <v>40</v>
      </c>
      <c r="B512" s="4" t="s">
        <v>140</v>
      </c>
      <c r="C512" s="4" t="s">
        <v>240</v>
      </c>
      <c r="D512" s="8">
        <v>45799</v>
      </c>
      <c r="E512" s="11">
        <v>3000000</v>
      </c>
    </row>
    <row r="513" spans="1:5" x14ac:dyDescent="0.3">
      <c r="A513" s="13" t="s">
        <v>31</v>
      </c>
      <c r="B513" s="4" t="s">
        <v>131</v>
      </c>
      <c r="C513" s="4" t="s">
        <v>231</v>
      </c>
      <c r="D513" s="8">
        <v>45799</v>
      </c>
      <c r="E513" s="11">
        <v>100000</v>
      </c>
    </row>
    <row r="514" spans="1:5" x14ac:dyDescent="0.3">
      <c r="A514" s="13" t="s">
        <v>50</v>
      </c>
      <c r="B514" s="4" t="s">
        <v>150</v>
      </c>
      <c r="C514" s="4" t="s">
        <v>250</v>
      </c>
      <c r="D514" s="8">
        <v>45800</v>
      </c>
      <c r="E514" s="11">
        <v>3000000</v>
      </c>
    </row>
    <row r="515" spans="1:5" x14ac:dyDescent="0.3">
      <c r="A515" s="13" t="s">
        <v>54</v>
      </c>
      <c r="B515" s="4" t="s">
        <v>154</v>
      </c>
      <c r="C515" s="4" t="s">
        <v>254</v>
      </c>
      <c r="D515" s="8">
        <v>45800</v>
      </c>
      <c r="E515" s="11">
        <v>100000</v>
      </c>
    </row>
    <row r="516" spans="1:5" x14ac:dyDescent="0.3">
      <c r="A516" s="13" t="s">
        <v>46</v>
      </c>
      <c r="B516" s="4" t="s">
        <v>146</v>
      </c>
      <c r="C516" s="4" t="s">
        <v>246</v>
      </c>
      <c r="D516" s="8">
        <v>45800</v>
      </c>
      <c r="E516" s="11">
        <v>50000</v>
      </c>
    </row>
    <row r="517" spans="1:5" x14ac:dyDescent="0.3">
      <c r="A517" s="13" t="s">
        <v>95</v>
      </c>
      <c r="B517" s="4" t="s">
        <v>195</v>
      </c>
      <c r="C517" s="4" t="s">
        <v>295</v>
      </c>
      <c r="D517" s="8">
        <v>45800</v>
      </c>
      <c r="E517" s="11">
        <v>2000000</v>
      </c>
    </row>
    <row r="518" spans="1:5" x14ac:dyDescent="0.3">
      <c r="A518" s="13" t="s">
        <v>59</v>
      </c>
      <c r="B518" s="4" t="s">
        <v>159</v>
      </c>
      <c r="C518" s="4" t="s">
        <v>259</v>
      </c>
      <c r="D518" s="8">
        <v>45801</v>
      </c>
      <c r="E518" s="11">
        <v>20000000</v>
      </c>
    </row>
    <row r="519" spans="1:5" x14ac:dyDescent="0.3">
      <c r="A519" s="13" t="s">
        <v>78</v>
      </c>
      <c r="B519" s="4" t="s">
        <v>178</v>
      </c>
      <c r="C519" s="4" t="s">
        <v>278</v>
      </c>
      <c r="D519" s="8">
        <v>45801</v>
      </c>
      <c r="E519" s="11">
        <v>10000000</v>
      </c>
    </row>
    <row r="520" spans="1:5" x14ac:dyDescent="0.3">
      <c r="A520" s="13" t="s">
        <v>13</v>
      </c>
      <c r="B520" s="4" t="s">
        <v>113</v>
      </c>
      <c r="C520" s="4" t="s">
        <v>213</v>
      </c>
      <c r="D520" s="8">
        <v>45801</v>
      </c>
      <c r="E520" s="11">
        <v>100000</v>
      </c>
    </row>
    <row r="521" spans="1:5" x14ac:dyDescent="0.3">
      <c r="A521" s="13" t="s">
        <v>101</v>
      </c>
      <c r="B521" s="4" t="s">
        <v>201</v>
      </c>
      <c r="C521" s="4" t="s">
        <v>301</v>
      </c>
      <c r="D521" s="8">
        <v>45801</v>
      </c>
      <c r="E521" s="11">
        <v>200000</v>
      </c>
    </row>
    <row r="522" spans="1:5" x14ac:dyDescent="0.3">
      <c r="A522" s="13" t="s">
        <v>35</v>
      </c>
      <c r="B522" s="4" t="s">
        <v>135</v>
      </c>
      <c r="C522" s="4" t="s">
        <v>235</v>
      </c>
      <c r="D522" s="8">
        <v>45801</v>
      </c>
      <c r="E522" s="11">
        <v>100000</v>
      </c>
    </row>
    <row r="523" spans="1:5" x14ac:dyDescent="0.3">
      <c r="A523" s="13" t="s">
        <v>93</v>
      </c>
      <c r="B523" s="4" t="s">
        <v>193</v>
      </c>
      <c r="C523" s="4" t="s">
        <v>293</v>
      </c>
      <c r="D523" s="8">
        <v>45801</v>
      </c>
      <c r="E523" s="11">
        <v>3000000</v>
      </c>
    </row>
    <row r="524" spans="1:5" x14ac:dyDescent="0.3">
      <c r="A524" s="13" t="s">
        <v>101</v>
      </c>
      <c r="B524" s="4" t="s">
        <v>201</v>
      </c>
      <c r="C524" s="4" t="s">
        <v>301</v>
      </c>
      <c r="D524" s="8">
        <v>45801</v>
      </c>
      <c r="E524" s="11">
        <v>200000</v>
      </c>
    </row>
    <row r="525" spans="1:5" x14ac:dyDescent="0.3">
      <c r="A525" s="13" t="s">
        <v>104</v>
      </c>
      <c r="B525" s="4" t="s">
        <v>204</v>
      </c>
      <c r="C525" s="4" t="s">
        <v>304</v>
      </c>
      <c r="D525" s="8">
        <v>45801</v>
      </c>
      <c r="E525" s="11">
        <v>150000</v>
      </c>
    </row>
    <row r="526" spans="1:5" x14ac:dyDescent="0.3">
      <c r="A526" s="13" t="s">
        <v>44</v>
      </c>
      <c r="B526" s="4" t="s">
        <v>144</v>
      </c>
      <c r="C526" s="4" t="s">
        <v>244</v>
      </c>
      <c r="D526" s="8">
        <v>45802</v>
      </c>
      <c r="E526" s="11">
        <v>1000000</v>
      </c>
    </row>
    <row r="527" spans="1:5" x14ac:dyDescent="0.3">
      <c r="A527" s="13" t="s">
        <v>34</v>
      </c>
      <c r="B527" s="4" t="s">
        <v>134</v>
      </c>
      <c r="C527" s="4" t="s">
        <v>234</v>
      </c>
      <c r="D527" s="8">
        <v>45802</v>
      </c>
      <c r="E527" s="11">
        <v>1000000</v>
      </c>
    </row>
    <row r="528" spans="1:5" x14ac:dyDescent="0.3">
      <c r="A528" s="13" t="s">
        <v>83</v>
      </c>
      <c r="B528" s="4" t="s">
        <v>183</v>
      </c>
      <c r="C528" s="4" t="s">
        <v>283</v>
      </c>
      <c r="D528" s="8">
        <v>45803</v>
      </c>
      <c r="E528" s="11">
        <v>10000000</v>
      </c>
    </row>
    <row r="529" spans="1:5" x14ac:dyDescent="0.3">
      <c r="A529" s="13" t="s">
        <v>10</v>
      </c>
      <c r="B529" s="4" t="s">
        <v>110</v>
      </c>
      <c r="C529" s="4" t="s">
        <v>210</v>
      </c>
      <c r="D529" s="8">
        <v>45803</v>
      </c>
      <c r="E529" s="11">
        <v>7000000</v>
      </c>
    </row>
    <row r="530" spans="1:5" x14ac:dyDescent="0.3">
      <c r="A530" s="13" t="s">
        <v>27</v>
      </c>
      <c r="B530" s="4" t="s">
        <v>127</v>
      </c>
      <c r="C530" s="4" t="s">
        <v>227</v>
      </c>
      <c r="D530" s="8">
        <v>45804</v>
      </c>
      <c r="E530" s="11">
        <v>150000</v>
      </c>
    </row>
    <row r="531" spans="1:5" x14ac:dyDescent="0.3">
      <c r="A531" s="13" t="s">
        <v>31</v>
      </c>
      <c r="B531" s="4" t="s">
        <v>131</v>
      </c>
      <c r="C531" s="4" t="s">
        <v>231</v>
      </c>
      <c r="D531" s="8">
        <v>45804</v>
      </c>
      <c r="E531" s="11">
        <v>3000000</v>
      </c>
    </row>
    <row r="532" spans="1:5" x14ac:dyDescent="0.3">
      <c r="A532" s="13" t="s">
        <v>15</v>
      </c>
      <c r="B532" s="4" t="s">
        <v>115</v>
      </c>
      <c r="C532" s="4" t="s">
        <v>215</v>
      </c>
      <c r="D532" s="8">
        <v>45804</v>
      </c>
      <c r="E532" s="11">
        <v>7000000</v>
      </c>
    </row>
    <row r="533" spans="1:5" x14ac:dyDescent="0.3">
      <c r="A533" s="13" t="s">
        <v>37</v>
      </c>
      <c r="B533" s="4" t="s">
        <v>137</v>
      </c>
      <c r="C533" s="4" t="s">
        <v>237</v>
      </c>
      <c r="D533" s="8">
        <v>45804</v>
      </c>
      <c r="E533" s="11">
        <v>1000000</v>
      </c>
    </row>
    <row r="534" spans="1:5" x14ac:dyDescent="0.3">
      <c r="A534" s="13" t="s">
        <v>18</v>
      </c>
      <c r="B534" s="4" t="s">
        <v>118</v>
      </c>
      <c r="C534" s="4" t="s">
        <v>218</v>
      </c>
      <c r="D534" s="8">
        <v>45805</v>
      </c>
      <c r="E534" s="11">
        <v>3000000</v>
      </c>
    </row>
    <row r="535" spans="1:5" x14ac:dyDescent="0.3">
      <c r="A535" s="13" t="s">
        <v>74</v>
      </c>
      <c r="B535" s="4" t="s">
        <v>174</v>
      </c>
      <c r="C535" s="4" t="s">
        <v>274</v>
      </c>
      <c r="D535" s="8">
        <v>45805</v>
      </c>
      <c r="E535" s="11">
        <v>7000000</v>
      </c>
    </row>
    <row r="536" spans="1:5" x14ac:dyDescent="0.3">
      <c r="A536" s="13" t="s">
        <v>80</v>
      </c>
      <c r="B536" s="4" t="s">
        <v>180</v>
      </c>
      <c r="C536" s="4" t="s">
        <v>280</v>
      </c>
      <c r="D536" s="8">
        <v>45805</v>
      </c>
      <c r="E536" s="11">
        <v>50000</v>
      </c>
    </row>
    <row r="537" spans="1:5" x14ac:dyDescent="0.3">
      <c r="A537" s="13" t="s">
        <v>70</v>
      </c>
      <c r="B537" s="4" t="s">
        <v>170</v>
      </c>
      <c r="C537" s="4" t="s">
        <v>270</v>
      </c>
      <c r="D537" s="8">
        <v>45805</v>
      </c>
      <c r="E537" s="11">
        <v>500000</v>
      </c>
    </row>
    <row r="538" spans="1:5" x14ac:dyDescent="0.3">
      <c r="A538" s="13" t="s">
        <v>18</v>
      </c>
      <c r="B538" s="4" t="s">
        <v>118</v>
      </c>
      <c r="C538" s="4" t="s">
        <v>218</v>
      </c>
      <c r="D538" s="8">
        <v>45805</v>
      </c>
      <c r="E538" s="11">
        <v>2000000</v>
      </c>
    </row>
    <row r="539" spans="1:5" x14ac:dyDescent="0.3">
      <c r="A539" s="13" t="s">
        <v>40</v>
      </c>
      <c r="B539" s="4" t="s">
        <v>140</v>
      </c>
      <c r="C539" s="4" t="s">
        <v>240</v>
      </c>
      <c r="D539" s="8">
        <v>45805</v>
      </c>
      <c r="E539" s="11">
        <v>5000000</v>
      </c>
    </row>
    <row r="540" spans="1:5" x14ac:dyDescent="0.3">
      <c r="A540" s="13" t="s">
        <v>44</v>
      </c>
      <c r="B540" s="4" t="s">
        <v>144</v>
      </c>
      <c r="C540" s="4" t="s">
        <v>244</v>
      </c>
      <c r="D540" s="8">
        <v>45805</v>
      </c>
      <c r="E540" s="11">
        <v>10000000</v>
      </c>
    </row>
    <row r="541" spans="1:5" x14ac:dyDescent="0.3">
      <c r="A541" s="13" t="s">
        <v>94</v>
      </c>
      <c r="B541" s="4" t="s">
        <v>194</v>
      </c>
      <c r="C541" s="4" t="s">
        <v>294</v>
      </c>
      <c r="D541" s="8">
        <v>45806</v>
      </c>
      <c r="E541" s="11">
        <v>250000</v>
      </c>
    </row>
    <row r="542" spans="1:5" x14ac:dyDescent="0.3">
      <c r="A542" s="13" t="s">
        <v>28</v>
      </c>
      <c r="B542" s="4" t="s">
        <v>128</v>
      </c>
      <c r="C542" s="4" t="s">
        <v>228</v>
      </c>
      <c r="D542" s="8">
        <v>45806</v>
      </c>
      <c r="E542" s="11">
        <v>2000000</v>
      </c>
    </row>
    <row r="543" spans="1:5" x14ac:dyDescent="0.3">
      <c r="A543" s="13" t="s">
        <v>31</v>
      </c>
      <c r="B543" s="4" t="s">
        <v>131</v>
      </c>
      <c r="C543" s="4" t="s">
        <v>231</v>
      </c>
      <c r="D543" s="8">
        <v>45807</v>
      </c>
      <c r="E543" s="11">
        <v>500000</v>
      </c>
    </row>
    <row r="544" spans="1:5" x14ac:dyDescent="0.3">
      <c r="A544" s="13" t="s">
        <v>14</v>
      </c>
      <c r="B544" s="4" t="s">
        <v>114</v>
      </c>
      <c r="C544" s="4" t="s">
        <v>214</v>
      </c>
      <c r="D544" s="8">
        <v>45807</v>
      </c>
      <c r="E544" s="11">
        <v>5000000</v>
      </c>
    </row>
    <row r="545" spans="1:5" x14ac:dyDescent="0.3">
      <c r="A545" s="13" t="s">
        <v>6</v>
      </c>
      <c r="B545" s="4" t="s">
        <v>106</v>
      </c>
      <c r="C545" s="4" t="s">
        <v>206</v>
      </c>
      <c r="D545" s="8">
        <v>45807</v>
      </c>
      <c r="E545" s="11">
        <v>5000000</v>
      </c>
    </row>
    <row r="546" spans="1:5" x14ac:dyDescent="0.3">
      <c r="A546" s="13" t="s">
        <v>34</v>
      </c>
      <c r="B546" s="4" t="s">
        <v>134</v>
      </c>
      <c r="C546" s="4" t="s">
        <v>234</v>
      </c>
      <c r="D546" s="8">
        <v>45808</v>
      </c>
      <c r="E546" s="11">
        <v>500000</v>
      </c>
    </row>
    <row r="547" spans="1:5" x14ac:dyDescent="0.3">
      <c r="A547" s="13" t="s">
        <v>64</v>
      </c>
      <c r="B547" s="4" t="s">
        <v>164</v>
      </c>
      <c r="C547" s="4" t="s">
        <v>264</v>
      </c>
      <c r="D547" s="8">
        <v>45808</v>
      </c>
      <c r="E547" s="11">
        <v>250000</v>
      </c>
    </row>
    <row r="548" spans="1:5" x14ac:dyDescent="0.3">
      <c r="A548" s="13" t="s">
        <v>96</v>
      </c>
      <c r="B548" s="4" t="s">
        <v>196</v>
      </c>
      <c r="C548" s="4" t="s">
        <v>296</v>
      </c>
      <c r="D548" s="8">
        <v>45809</v>
      </c>
      <c r="E548" s="11">
        <v>5000000</v>
      </c>
    </row>
    <row r="549" spans="1:5" x14ac:dyDescent="0.3">
      <c r="A549" s="13" t="s">
        <v>102</v>
      </c>
      <c r="B549" s="4" t="s">
        <v>202</v>
      </c>
      <c r="C549" s="4" t="s">
        <v>302</v>
      </c>
      <c r="D549" s="8">
        <v>45809</v>
      </c>
      <c r="E549" s="11">
        <v>10000000</v>
      </c>
    </row>
    <row r="550" spans="1:5" x14ac:dyDescent="0.3">
      <c r="A550" s="13" t="s">
        <v>55</v>
      </c>
      <c r="B550" s="4" t="s">
        <v>155</v>
      </c>
      <c r="C550" s="4" t="s">
        <v>255</v>
      </c>
      <c r="D550" s="8">
        <v>45809</v>
      </c>
      <c r="E550" s="11">
        <v>20000000</v>
      </c>
    </row>
    <row r="551" spans="1:5" x14ac:dyDescent="0.3">
      <c r="A551" s="13" t="s">
        <v>13</v>
      </c>
      <c r="B551" s="4" t="s">
        <v>113</v>
      </c>
      <c r="C551" s="4" t="s">
        <v>213</v>
      </c>
      <c r="D551" s="8">
        <v>45810</v>
      </c>
      <c r="E551" s="11">
        <v>20000000</v>
      </c>
    </row>
    <row r="552" spans="1:5" x14ac:dyDescent="0.3">
      <c r="A552" s="13" t="s">
        <v>11</v>
      </c>
      <c r="B552" s="4" t="s">
        <v>111</v>
      </c>
      <c r="C552" s="4" t="s">
        <v>211</v>
      </c>
      <c r="D552" s="8">
        <v>45810</v>
      </c>
      <c r="E552" s="11">
        <v>2000000</v>
      </c>
    </row>
    <row r="553" spans="1:5" x14ac:dyDescent="0.3">
      <c r="A553" s="13" t="s">
        <v>63</v>
      </c>
      <c r="B553" s="4" t="s">
        <v>163</v>
      </c>
      <c r="C553" s="4" t="s">
        <v>263</v>
      </c>
      <c r="D553" s="8">
        <v>45810</v>
      </c>
      <c r="E553" s="11">
        <v>250000</v>
      </c>
    </row>
    <row r="554" spans="1:5" x14ac:dyDescent="0.3">
      <c r="A554" s="13" t="s">
        <v>63</v>
      </c>
      <c r="B554" s="4" t="s">
        <v>163</v>
      </c>
      <c r="C554" s="4" t="s">
        <v>263</v>
      </c>
      <c r="D554" s="8">
        <v>45810</v>
      </c>
      <c r="E554" s="11">
        <v>50000</v>
      </c>
    </row>
    <row r="555" spans="1:5" x14ac:dyDescent="0.3">
      <c r="A555" s="13" t="s">
        <v>55</v>
      </c>
      <c r="B555" s="4" t="s">
        <v>155</v>
      </c>
      <c r="C555" s="4" t="s">
        <v>255</v>
      </c>
      <c r="D555" s="8">
        <v>45810</v>
      </c>
      <c r="E555" s="11">
        <v>20000000</v>
      </c>
    </row>
    <row r="556" spans="1:5" x14ac:dyDescent="0.3">
      <c r="A556" s="13" t="s">
        <v>54</v>
      </c>
      <c r="B556" s="4" t="s">
        <v>154</v>
      </c>
      <c r="C556" s="4" t="s">
        <v>254</v>
      </c>
      <c r="D556" s="8">
        <v>45810</v>
      </c>
      <c r="E556" s="11">
        <v>2000000</v>
      </c>
    </row>
    <row r="557" spans="1:5" x14ac:dyDescent="0.3">
      <c r="A557" s="13" t="s">
        <v>9</v>
      </c>
      <c r="B557" s="4" t="s">
        <v>109</v>
      </c>
      <c r="C557" s="4" t="s">
        <v>209</v>
      </c>
      <c r="D557" s="8">
        <v>45810</v>
      </c>
      <c r="E557" s="11">
        <v>500000</v>
      </c>
    </row>
    <row r="558" spans="1:5" x14ac:dyDescent="0.3">
      <c r="A558" s="13" t="s">
        <v>36</v>
      </c>
      <c r="B558" s="4" t="s">
        <v>136</v>
      </c>
      <c r="C558" s="4" t="s">
        <v>236</v>
      </c>
      <c r="D558" s="8">
        <v>45810</v>
      </c>
      <c r="E558" s="11">
        <v>150000</v>
      </c>
    </row>
    <row r="559" spans="1:5" x14ac:dyDescent="0.3">
      <c r="A559" s="13" t="s">
        <v>44</v>
      </c>
      <c r="B559" s="4" t="s">
        <v>144</v>
      </c>
      <c r="C559" s="4" t="s">
        <v>244</v>
      </c>
      <c r="D559" s="8">
        <v>45811</v>
      </c>
      <c r="E559" s="11">
        <v>100000</v>
      </c>
    </row>
    <row r="560" spans="1:5" x14ac:dyDescent="0.3">
      <c r="A560" s="13" t="s">
        <v>102</v>
      </c>
      <c r="B560" s="4" t="s">
        <v>202</v>
      </c>
      <c r="C560" s="4" t="s">
        <v>302</v>
      </c>
      <c r="D560" s="8">
        <v>45812</v>
      </c>
      <c r="E560" s="11">
        <v>50000</v>
      </c>
    </row>
    <row r="561" spans="1:5" x14ac:dyDescent="0.3">
      <c r="A561" s="13" t="s">
        <v>92</v>
      </c>
      <c r="B561" s="4" t="s">
        <v>192</v>
      </c>
      <c r="C561" s="4" t="s">
        <v>292</v>
      </c>
      <c r="D561" s="8">
        <v>45812</v>
      </c>
      <c r="E561" s="11">
        <v>500000</v>
      </c>
    </row>
    <row r="562" spans="1:5" x14ac:dyDescent="0.3">
      <c r="A562" s="13" t="s">
        <v>77</v>
      </c>
      <c r="B562" s="4" t="s">
        <v>177</v>
      </c>
      <c r="C562" s="4" t="s">
        <v>277</v>
      </c>
      <c r="D562" s="8">
        <v>45812</v>
      </c>
      <c r="E562" s="11">
        <v>7000000</v>
      </c>
    </row>
    <row r="563" spans="1:5" x14ac:dyDescent="0.3">
      <c r="A563" s="13" t="s">
        <v>58</v>
      </c>
      <c r="B563" s="4" t="s">
        <v>158</v>
      </c>
      <c r="C563" s="4" t="s">
        <v>258</v>
      </c>
      <c r="D563" s="8">
        <v>45813</v>
      </c>
      <c r="E563" s="11">
        <v>250000</v>
      </c>
    </row>
    <row r="564" spans="1:5" x14ac:dyDescent="0.3">
      <c r="A564" s="13" t="s">
        <v>85</v>
      </c>
      <c r="B564" s="4" t="s">
        <v>185</v>
      </c>
      <c r="C564" s="4" t="s">
        <v>285</v>
      </c>
      <c r="D564" s="8">
        <v>45813</v>
      </c>
      <c r="E564" s="11">
        <v>200000</v>
      </c>
    </row>
    <row r="565" spans="1:5" x14ac:dyDescent="0.3">
      <c r="A565" s="13" t="s">
        <v>104</v>
      </c>
      <c r="B565" s="4" t="s">
        <v>204</v>
      </c>
      <c r="C565" s="4" t="s">
        <v>304</v>
      </c>
      <c r="D565" s="8">
        <v>45813</v>
      </c>
      <c r="E565" s="11">
        <v>3000000</v>
      </c>
    </row>
    <row r="566" spans="1:5" x14ac:dyDescent="0.3">
      <c r="A566" s="13" t="s">
        <v>68</v>
      </c>
      <c r="B566" s="4" t="s">
        <v>168</v>
      </c>
      <c r="C566" s="4" t="s">
        <v>268</v>
      </c>
      <c r="D566" s="8">
        <v>45814</v>
      </c>
      <c r="E566" s="11">
        <v>20000000</v>
      </c>
    </row>
    <row r="567" spans="1:5" x14ac:dyDescent="0.3">
      <c r="A567" s="13" t="s">
        <v>19</v>
      </c>
      <c r="B567" s="4" t="s">
        <v>119</v>
      </c>
      <c r="C567" s="4" t="s">
        <v>219</v>
      </c>
      <c r="D567" s="8">
        <v>45814</v>
      </c>
      <c r="E567" s="11">
        <v>7000000</v>
      </c>
    </row>
    <row r="568" spans="1:5" x14ac:dyDescent="0.3">
      <c r="A568" s="13" t="s">
        <v>81</v>
      </c>
      <c r="B568" s="4" t="s">
        <v>181</v>
      </c>
      <c r="C568" s="4" t="s">
        <v>281</v>
      </c>
      <c r="D568" s="8">
        <v>45814</v>
      </c>
      <c r="E568" s="11">
        <v>100000</v>
      </c>
    </row>
    <row r="569" spans="1:5" x14ac:dyDescent="0.3">
      <c r="A569" s="13" t="s">
        <v>30</v>
      </c>
      <c r="B569" s="4" t="s">
        <v>130</v>
      </c>
      <c r="C569" s="4" t="s">
        <v>230</v>
      </c>
      <c r="D569" s="8">
        <v>45815</v>
      </c>
      <c r="E569" s="11">
        <v>100000</v>
      </c>
    </row>
    <row r="570" spans="1:5" x14ac:dyDescent="0.3">
      <c r="A570" s="13" t="s">
        <v>50</v>
      </c>
      <c r="B570" s="4" t="s">
        <v>150</v>
      </c>
      <c r="C570" s="4" t="s">
        <v>250</v>
      </c>
      <c r="D570" s="8">
        <v>45815</v>
      </c>
      <c r="E570" s="11">
        <v>2000000</v>
      </c>
    </row>
    <row r="571" spans="1:5" x14ac:dyDescent="0.3">
      <c r="A571" s="13" t="s">
        <v>39</v>
      </c>
      <c r="B571" s="4" t="s">
        <v>139</v>
      </c>
      <c r="C571" s="4" t="s">
        <v>239</v>
      </c>
      <c r="D571" s="8">
        <v>45815</v>
      </c>
      <c r="E571" s="11">
        <v>20000000</v>
      </c>
    </row>
    <row r="572" spans="1:5" x14ac:dyDescent="0.3">
      <c r="A572" s="13" t="s">
        <v>68</v>
      </c>
      <c r="B572" s="4" t="s">
        <v>168</v>
      </c>
      <c r="C572" s="4" t="s">
        <v>268</v>
      </c>
      <c r="D572" s="8">
        <v>45816</v>
      </c>
      <c r="E572" s="11">
        <v>50000</v>
      </c>
    </row>
    <row r="573" spans="1:5" x14ac:dyDescent="0.3">
      <c r="A573" s="13" t="s">
        <v>69</v>
      </c>
      <c r="B573" s="4" t="s">
        <v>169</v>
      </c>
      <c r="C573" s="4" t="s">
        <v>269</v>
      </c>
      <c r="D573" s="8">
        <v>45816</v>
      </c>
      <c r="E573" s="11">
        <v>50000</v>
      </c>
    </row>
    <row r="574" spans="1:5" x14ac:dyDescent="0.3">
      <c r="A574" s="13" t="s">
        <v>32</v>
      </c>
      <c r="B574" s="4" t="s">
        <v>132</v>
      </c>
      <c r="C574" s="4" t="s">
        <v>232</v>
      </c>
      <c r="D574" s="8">
        <v>45816</v>
      </c>
      <c r="E574" s="11">
        <v>150000</v>
      </c>
    </row>
    <row r="575" spans="1:5" x14ac:dyDescent="0.3">
      <c r="A575" s="13" t="s">
        <v>94</v>
      </c>
      <c r="B575" s="4" t="s">
        <v>194</v>
      </c>
      <c r="C575" s="4" t="s">
        <v>294</v>
      </c>
      <c r="D575" s="8">
        <v>45816</v>
      </c>
      <c r="E575" s="11">
        <v>50000</v>
      </c>
    </row>
    <row r="576" spans="1:5" x14ac:dyDescent="0.3">
      <c r="A576" s="13" t="s">
        <v>100</v>
      </c>
      <c r="B576" s="4" t="s">
        <v>200</v>
      </c>
      <c r="C576" s="4" t="s">
        <v>300</v>
      </c>
      <c r="D576" s="8">
        <v>45816</v>
      </c>
      <c r="E576" s="11">
        <v>500000</v>
      </c>
    </row>
    <row r="577" spans="1:5" x14ac:dyDescent="0.3">
      <c r="A577" s="13" t="s">
        <v>100</v>
      </c>
      <c r="B577" s="4" t="s">
        <v>200</v>
      </c>
      <c r="C577" s="4" t="s">
        <v>300</v>
      </c>
      <c r="D577" s="8">
        <v>45816</v>
      </c>
      <c r="E577" s="11">
        <v>20000000</v>
      </c>
    </row>
    <row r="578" spans="1:5" x14ac:dyDescent="0.3">
      <c r="A578" s="13" t="s">
        <v>10</v>
      </c>
      <c r="B578" s="4" t="s">
        <v>110</v>
      </c>
      <c r="C578" s="4" t="s">
        <v>210</v>
      </c>
      <c r="D578" s="8">
        <v>45817</v>
      </c>
      <c r="E578" s="11">
        <v>1000000</v>
      </c>
    </row>
    <row r="579" spans="1:5" x14ac:dyDescent="0.3">
      <c r="A579" s="13" t="s">
        <v>78</v>
      </c>
      <c r="B579" s="4" t="s">
        <v>178</v>
      </c>
      <c r="C579" s="4" t="s">
        <v>278</v>
      </c>
      <c r="D579" s="8">
        <v>45818</v>
      </c>
      <c r="E579" s="11">
        <v>7000000</v>
      </c>
    </row>
    <row r="580" spans="1:5" x14ac:dyDescent="0.3">
      <c r="A580" s="13" t="s">
        <v>100</v>
      </c>
      <c r="B580" s="4" t="s">
        <v>200</v>
      </c>
      <c r="C580" s="4" t="s">
        <v>300</v>
      </c>
      <c r="D580" s="8">
        <v>45818</v>
      </c>
      <c r="E580" s="11">
        <v>20000000</v>
      </c>
    </row>
    <row r="581" spans="1:5" x14ac:dyDescent="0.3">
      <c r="A581" s="13" t="s">
        <v>83</v>
      </c>
      <c r="B581" s="4" t="s">
        <v>183</v>
      </c>
      <c r="C581" s="4" t="s">
        <v>283</v>
      </c>
      <c r="D581" s="8">
        <v>45818</v>
      </c>
      <c r="E581" s="11">
        <v>2000000</v>
      </c>
    </row>
    <row r="582" spans="1:5" x14ac:dyDescent="0.3">
      <c r="A582" s="13" t="s">
        <v>94</v>
      </c>
      <c r="B582" s="4" t="s">
        <v>194</v>
      </c>
      <c r="C582" s="4" t="s">
        <v>294</v>
      </c>
      <c r="D582" s="8">
        <v>45819</v>
      </c>
      <c r="E582" s="11">
        <v>1000000</v>
      </c>
    </row>
    <row r="583" spans="1:5" x14ac:dyDescent="0.3">
      <c r="A583" s="13" t="s">
        <v>48</v>
      </c>
      <c r="B583" s="4" t="s">
        <v>148</v>
      </c>
      <c r="C583" s="4" t="s">
        <v>248</v>
      </c>
      <c r="D583" s="8">
        <v>45819</v>
      </c>
      <c r="E583" s="11">
        <v>20000000</v>
      </c>
    </row>
    <row r="584" spans="1:5" x14ac:dyDescent="0.3">
      <c r="A584" s="13" t="s">
        <v>12</v>
      </c>
      <c r="B584" s="4" t="s">
        <v>112</v>
      </c>
      <c r="C584" s="4" t="s">
        <v>212</v>
      </c>
      <c r="D584" s="8">
        <v>45820</v>
      </c>
      <c r="E584" s="11">
        <v>50000</v>
      </c>
    </row>
    <row r="585" spans="1:5" x14ac:dyDescent="0.3">
      <c r="A585" s="13" t="s">
        <v>29</v>
      </c>
      <c r="B585" s="4" t="s">
        <v>129</v>
      </c>
      <c r="C585" s="4" t="s">
        <v>229</v>
      </c>
      <c r="D585" s="8">
        <v>45820</v>
      </c>
      <c r="E585" s="11">
        <v>7000000</v>
      </c>
    </row>
    <row r="586" spans="1:5" x14ac:dyDescent="0.3">
      <c r="A586" s="13" t="s">
        <v>84</v>
      </c>
      <c r="B586" s="4" t="s">
        <v>184</v>
      </c>
      <c r="C586" s="4" t="s">
        <v>284</v>
      </c>
      <c r="D586" s="8">
        <v>45820</v>
      </c>
      <c r="E586" s="11">
        <v>50000</v>
      </c>
    </row>
    <row r="587" spans="1:5" x14ac:dyDescent="0.3">
      <c r="A587" s="13" t="s">
        <v>88</v>
      </c>
      <c r="B587" s="4" t="s">
        <v>188</v>
      </c>
      <c r="C587" s="4" t="s">
        <v>288</v>
      </c>
      <c r="D587" s="8">
        <v>45821</v>
      </c>
      <c r="E587" s="11">
        <v>150000</v>
      </c>
    </row>
    <row r="588" spans="1:5" x14ac:dyDescent="0.3">
      <c r="A588" s="13" t="s">
        <v>82</v>
      </c>
      <c r="B588" s="4" t="s">
        <v>182</v>
      </c>
      <c r="C588" s="4" t="s">
        <v>282</v>
      </c>
      <c r="D588" s="8">
        <v>45822</v>
      </c>
      <c r="E588" s="11">
        <v>50000</v>
      </c>
    </row>
    <row r="589" spans="1:5" x14ac:dyDescent="0.3">
      <c r="A589" s="13" t="s">
        <v>26</v>
      </c>
      <c r="B589" s="4" t="s">
        <v>126</v>
      </c>
      <c r="C589" s="4" t="s">
        <v>226</v>
      </c>
      <c r="D589" s="8">
        <v>45822</v>
      </c>
      <c r="E589" s="11">
        <v>2000000</v>
      </c>
    </row>
    <row r="590" spans="1:5" x14ac:dyDescent="0.3">
      <c r="A590" s="13" t="s">
        <v>102</v>
      </c>
      <c r="B590" s="4" t="s">
        <v>202</v>
      </c>
      <c r="C590" s="4" t="s">
        <v>302</v>
      </c>
      <c r="D590" s="8">
        <v>45822</v>
      </c>
      <c r="E590" s="11">
        <v>150000</v>
      </c>
    </row>
    <row r="591" spans="1:5" x14ac:dyDescent="0.3">
      <c r="A591" s="13" t="s">
        <v>81</v>
      </c>
      <c r="B591" s="4" t="s">
        <v>181</v>
      </c>
      <c r="C591" s="4" t="s">
        <v>281</v>
      </c>
      <c r="D591" s="8">
        <v>45823</v>
      </c>
      <c r="E591" s="11">
        <v>3000000</v>
      </c>
    </row>
    <row r="592" spans="1:5" x14ac:dyDescent="0.3">
      <c r="A592" s="13" t="s">
        <v>101</v>
      </c>
      <c r="B592" s="4" t="s">
        <v>201</v>
      </c>
      <c r="C592" s="4" t="s">
        <v>301</v>
      </c>
      <c r="D592" s="8">
        <v>45823</v>
      </c>
      <c r="E592" s="11">
        <v>150000</v>
      </c>
    </row>
    <row r="593" spans="1:5" x14ac:dyDescent="0.3">
      <c r="A593" s="13" t="s">
        <v>78</v>
      </c>
      <c r="B593" s="4" t="s">
        <v>178</v>
      </c>
      <c r="C593" s="4" t="s">
        <v>278</v>
      </c>
      <c r="D593" s="8">
        <v>45823</v>
      </c>
      <c r="E593" s="11">
        <v>3000000</v>
      </c>
    </row>
    <row r="594" spans="1:5" x14ac:dyDescent="0.3">
      <c r="A594" s="13" t="s">
        <v>70</v>
      </c>
      <c r="B594" s="4" t="s">
        <v>170</v>
      </c>
      <c r="C594" s="4" t="s">
        <v>270</v>
      </c>
      <c r="D594" s="8">
        <v>45823</v>
      </c>
      <c r="E594" s="11">
        <v>50000</v>
      </c>
    </row>
    <row r="595" spans="1:5" x14ac:dyDescent="0.3">
      <c r="A595" s="13" t="s">
        <v>10</v>
      </c>
      <c r="B595" s="4" t="s">
        <v>110</v>
      </c>
      <c r="C595" s="4" t="s">
        <v>210</v>
      </c>
      <c r="D595" s="8">
        <v>45823</v>
      </c>
      <c r="E595" s="11">
        <v>500000</v>
      </c>
    </row>
    <row r="596" spans="1:5" x14ac:dyDescent="0.3">
      <c r="A596" s="13" t="s">
        <v>36</v>
      </c>
      <c r="B596" s="4" t="s">
        <v>136</v>
      </c>
      <c r="C596" s="4" t="s">
        <v>236</v>
      </c>
      <c r="D596" s="8">
        <v>45823</v>
      </c>
      <c r="E596" s="11">
        <v>500000</v>
      </c>
    </row>
    <row r="597" spans="1:5" x14ac:dyDescent="0.3">
      <c r="A597" s="13" t="s">
        <v>51</v>
      </c>
      <c r="B597" s="4" t="s">
        <v>151</v>
      </c>
      <c r="C597" s="4" t="s">
        <v>251</v>
      </c>
      <c r="D597" s="8">
        <v>45824</v>
      </c>
      <c r="E597" s="11">
        <v>20000000</v>
      </c>
    </row>
    <row r="598" spans="1:5" x14ac:dyDescent="0.3">
      <c r="A598" s="13" t="s">
        <v>75</v>
      </c>
      <c r="B598" s="4" t="s">
        <v>175</v>
      </c>
      <c r="C598" s="4" t="s">
        <v>275</v>
      </c>
      <c r="D598" s="8">
        <v>45824</v>
      </c>
      <c r="E598" s="11">
        <v>20000000</v>
      </c>
    </row>
    <row r="599" spans="1:5" x14ac:dyDescent="0.3">
      <c r="A599" s="13" t="s">
        <v>48</v>
      </c>
      <c r="B599" s="4" t="s">
        <v>148</v>
      </c>
      <c r="C599" s="4" t="s">
        <v>248</v>
      </c>
      <c r="D599" s="8">
        <v>45824</v>
      </c>
      <c r="E599" s="11">
        <v>100000</v>
      </c>
    </row>
    <row r="600" spans="1:5" x14ac:dyDescent="0.3">
      <c r="A600" s="13" t="s">
        <v>64</v>
      </c>
      <c r="B600" s="4" t="s">
        <v>164</v>
      </c>
      <c r="C600" s="4" t="s">
        <v>264</v>
      </c>
      <c r="D600" s="8">
        <v>45826</v>
      </c>
      <c r="E600" s="11">
        <v>3000000</v>
      </c>
    </row>
    <row r="601" spans="1:5" x14ac:dyDescent="0.3">
      <c r="A601" s="13" t="s">
        <v>71</v>
      </c>
      <c r="B601" s="4" t="s">
        <v>171</v>
      </c>
      <c r="C601" s="4" t="s">
        <v>271</v>
      </c>
      <c r="D601" s="8">
        <v>45826</v>
      </c>
      <c r="E601" s="11">
        <v>100000</v>
      </c>
    </row>
    <row r="602" spans="1:5" x14ac:dyDescent="0.3">
      <c r="A602" s="13" t="s">
        <v>78</v>
      </c>
      <c r="B602" s="4" t="s">
        <v>178</v>
      </c>
      <c r="C602" s="4" t="s">
        <v>278</v>
      </c>
      <c r="D602" s="8">
        <v>45826</v>
      </c>
      <c r="E602" s="11">
        <v>7000000</v>
      </c>
    </row>
    <row r="603" spans="1:5" x14ac:dyDescent="0.3">
      <c r="A603" s="13" t="s">
        <v>45</v>
      </c>
      <c r="B603" s="4" t="s">
        <v>145</v>
      </c>
      <c r="C603" s="4" t="s">
        <v>245</v>
      </c>
      <c r="D603" s="8">
        <v>45826</v>
      </c>
      <c r="E603" s="11">
        <v>2000000</v>
      </c>
    </row>
    <row r="604" spans="1:5" x14ac:dyDescent="0.3">
      <c r="A604" s="13" t="s">
        <v>56</v>
      </c>
      <c r="B604" s="4" t="s">
        <v>156</v>
      </c>
      <c r="C604" s="4" t="s">
        <v>256</v>
      </c>
      <c r="D604" s="8">
        <v>45827</v>
      </c>
      <c r="E604" s="11">
        <v>1000000</v>
      </c>
    </row>
    <row r="605" spans="1:5" x14ac:dyDescent="0.3">
      <c r="A605" s="13" t="s">
        <v>77</v>
      </c>
      <c r="B605" s="4" t="s">
        <v>177</v>
      </c>
      <c r="C605" s="4" t="s">
        <v>277</v>
      </c>
      <c r="D605" s="8">
        <v>45828</v>
      </c>
      <c r="E605" s="11">
        <v>50000</v>
      </c>
    </row>
    <row r="606" spans="1:5" x14ac:dyDescent="0.3">
      <c r="A606" s="13" t="s">
        <v>86</v>
      </c>
      <c r="B606" s="4" t="s">
        <v>186</v>
      </c>
      <c r="C606" s="4" t="s">
        <v>286</v>
      </c>
      <c r="D606" s="8">
        <v>45828</v>
      </c>
      <c r="E606" s="11">
        <v>3000000</v>
      </c>
    </row>
    <row r="607" spans="1:5" x14ac:dyDescent="0.3">
      <c r="A607" s="13" t="s">
        <v>56</v>
      </c>
      <c r="B607" s="4" t="s">
        <v>156</v>
      </c>
      <c r="C607" s="4" t="s">
        <v>256</v>
      </c>
      <c r="D607" s="8">
        <v>45828</v>
      </c>
      <c r="E607" s="11">
        <v>150000</v>
      </c>
    </row>
    <row r="608" spans="1:5" x14ac:dyDescent="0.3">
      <c r="A608" s="13" t="s">
        <v>12</v>
      </c>
      <c r="B608" s="4" t="s">
        <v>112</v>
      </c>
      <c r="C608" s="4" t="s">
        <v>212</v>
      </c>
      <c r="D608" s="8">
        <v>45828</v>
      </c>
      <c r="E608" s="11">
        <v>250000</v>
      </c>
    </row>
    <row r="609" spans="1:5" x14ac:dyDescent="0.3">
      <c r="A609" s="13" t="s">
        <v>60</v>
      </c>
      <c r="B609" s="4" t="s">
        <v>160</v>
      </c>
      <c r="C609" s="4" t="s">
        <v>260</v>
      </c>
      <c r="D609" s="8">
        <v>45829</v>
      </c>
      <c r="E609" s="11">
        <v>200000</v>
      </c>
    </row>
    <row r="610" spans="1:5" x14ac:dyDescent="0.3">
      <c r="A610" s="13" t="s">
        <v>24</v>
      </c>
      <c r="B610" s="4" t="s">
        <v>124</v>
      </c>
      <c r="C610" s="4" t="s">
        <v>224</v>
      </c>
      <c r="D610" s="8">
        <v>45830</v>
      </c>
      <c r="E610" s="11">
        <v>2000000</v>
      </c>
    </row>
    <row r="611" spans="1:5" x14ac:dyDescent="0.3">
      <c r="A611" s="13" t="s">
        <v>55</v>
      </c>
      <c r="B611" s="4" t="s">
        <v>155</v>
      </c>
      <c r="C611" s="4" t="s">
        <v>255</v>
      </c>
      <c r="D611" s="8">
        <v>45830</v>
      </c>
      <c r="E611" s="11">
        <v>50000</v>
      </c>
    </row>
    <row r="612" spans="1:5" x14ac:dyDescent="0.3">
      <c r="A612" s="13" t="s">
        <v>18</v>
      </c>
      <c r="B612" s="4" t="s">
        <v>118</v>
      </c>
      <c r="C612" s="4" t="s">
        <v>218</v>
      </c>
      <c r="D612" s="8">
        <v>45830</v>
      </c>
      <c r="E612" s="11">
        <v>2000000</v>
      </c>
    </row>
    <row r="613" spans="1:5" x14ac:dyDescent="0.3">
      <c r="A613" s="13" t="s">
        <v>51</v>
      </c>
      <c r="B613" s="4" t="s">
        <v>151</v>
      </c>
      <c r="C613" s="4" t="s">
        <v>251</v>
      </c>
      <c r="D613" s="8">
        <v>45830</v>
      </c>
      <c r="E613" s="11">
        <v>2000000</v>
      </c>
    </row>
    <row r="614" spans="1:5" x14ac:dyDescent="0.3">
      <c r="A614" s="13" t="s">
        <v>78</v>
      </c>
      <c r="B614" s="4" t="s">
        <v>178</v>
      </c>
      <c r="C614" s="4" t="s">
        <v>278</v>
      </c>
      <c r="D614" s="8">
        <v>45830</v>
      </c>
      <c r="E614" s="11">
        <v>20000000</v>
      </c>
    </row>
    <row r="615" spans="1:5" x14ac:dyDescent="0.3">
      <c r="A615" s="13" t="s">
        <v>98</v>
      </c>
      <c r="B615" s="4" t="s">
        <v>198</v>
      </c>
      <c r="C615" s="4" t="s">
        <v>298</v>
      </c>
      <c r="D615" s="8">
        <v>45830</v>
      </c>
      <c r="E615" s="11">
        <v>2000000</v>
      </c>
    </row>
    <row r="616" spans="1:5" x14ac:dyDescent="0.3">
      <c r="A616" s="13" t="s">
        <v>46</v>
      </c>
      <c r="B616" s="4" t="s">
        <v>146</v>
      </c>
      <c r="C616" s="4" t="s">
        <v>246</v>
      </c>
      <c r="D616" s="8">
        <v>45830</v>
      </c>
      <c r="E616" s="11">
        <v>20000000</v>
      </c>
    </row>
    <row r="617" spans="1:5" x14ac:dyDescent="0.3">
      <c r="A617" s="13" t="s">
        <v>76</v>
      </c>
      <c r="B617" s="4" t="s">
        <v>176</v>
      </c>
      <c r="C617" s="4" t="s">
        <v>276</v>
      </c>
      <c r="D617" s="8">
        <v>45831</v>
      </c>
      <c r="E617" s="11">
        <v>2000000</v>
      </c>
    </row>
    <row r="618" spans="1:5" x14ac:dyDescent="0.3">
      <c r="A618" s="13" t="s">
        <v>103</v>
      </c>
      <c r="B618" s="4" t="s">
        <v>203</v>
      </c>
      <c r="C618" s="4" t="s">
        <v>303</v>
      </c>
      <c r="D618" s="8">
        <v>45832</v>
      </c>
      <c r="E618" s="11">
        <v>7000000</v>
      </c>
    </row>
    <row r="619" spans="1:5" x14ac:dyDescent="0.3">
      <c r="A619" s="13" t="s">
        <v>10</v>
      </c>
      <c r="B619" s="4" t="s">
        <v>110</v>
      </c>
      <c r="C619" s="4" t="s">
        <v>210</v>
      </c>
      <c r="D619" s="8">
        <v>45832</v>
      </c>
      <c r="E619" s="11">
        <v>10000000</v>
      </c>
    </row>
    <row r="620" spans="1:5" x14ac:dyDescent="0.3">
      <c r="A620" s="13" t="s">
        <v>8</v>
      </c>
      <c r="B620" s="4" t="s">
        <v>108</v>
      </c>
      <c r="C620" s="4" t="s">
        <v>208</v>
      </c>
      <c r="D620" s="8">
        <v>45832</v>
      </c>
      <c r="E620" s="11">
        <v>10000000</v>
      </c>
    </row>
    <row r="621" spans="1:5" x14ac:dyDescent="0.3">
      <c r="A621" s="13" t="s">
        <v>19</v>
      </c>
      <c r="B621" s="4" t="s">
        <v>119</v>
      </c>
      <c r="C621" s="4" t="s">
        <v>219</v>
      </c>
      <c r="D621" s="8">
        <v>45832</v>
      </c>
      <c r="E621" s="11">
        <v>5000000</v>
      </c>
    </row>
    <row r="622" spans="1:5" x14ac:dyDescent="0.3">
      <c r="A622" s="13" t="s">
        <v>81</v>
      </c>
      <c r="B622" s="4" t="s">
        <v>181</v>
      </c>
      <c r="C622" s="4" t="s">
        <v>281</v>
      </c>
      <c r="D622" s="8">
        <v>45832</v>
      </c>
      <c r="E622" s="11">
        <v>150000</v>
      </c>
    </row>
    <row r="623" spans="1:5" x14ac:dyDescent="0.3">
      <c r="A623" s="13" t="s">
        <v>46</v>
      </c>
      <c r="B623" s="4" t="s">
        <v>146</v>
      </c>
      <c r="C623" s="4" t="s">
        <v>246</v>
      </c>
      <c r="D623" s="8">
        <v>45832</v>
      </c>
      <c r="E623" s="11">
        <v>2000000</v>
      </c>
    </row>
    <row r="624" spans="1:5" x14ac:dyDescent="0.3">
      <c r="A624" s="13" t="s">
        <v>14</v>
      </c>
      <c r="B624" s="4" t="s">
        <v>114</v>
      </c>
      <c r="C624" s="4" t="s">
        <v>214</v>
      </c>
      <c r="D624" s="8">
        <v>45833</v>
      </c>
      <c r="E624" s="11">
        <v>50000</v>
      </c>
    </row>
    <row r="625" spans="1:5" x14ac:dyDescent="0.3">
      <c r="A625" s="13" t="s">
        <v>30</v>
      </c>
      <c r="B625" s="4" t="s">
        <v>130</v>
      </c>
      <c r="C625" s="4" t="s">
        <v>230</v>
      </c>
      <c r="D625" s="8">
        <v>45833</v>
      </c>
      <c r="E625" s="11">
        <v>100000</v>
      </c>
    </row>
    <row r="626" spans="1:5" x14ac:dyDescent="0.3">
      <c r="A626" s="13" t="s">
        <v>28</v>
      </c>
      <c r="B626" s="4" t="s">
        <v>128</v>
      </c>
      <c r="C626" s="4" t="s">
        <v>228</v>
      </c>
      <c r="D626" s="8">
        <v>45833</v>
      </c>
      <c r="E626" s="11">
        <v>500000</v>
      </c>
    </row>
    <row r="627" spans="1:5" x14ac:dyDescent="0.3">
      <c r="A627" s="13" t="s">
        <v>40</v>
      </c>
      <c r="B627" s="4" t="s">
        <v>140</v>
      </c>
      <c r="C627" s="4" t="s">
        <v>240</v>
      </c>
      <c r="D627" s="8">
        <v>45833</v>
      </c>
      <c r="E627" s="11">
        <v>50000</v>
      </c>
    </row>
    <row r="628" spans="1:5" x14ac:dyDescent="0.3">
      <c r="A628" s="13" t="s">
        <v>46</v>
      </c>
      <c r="B628" s="4" t="s">
        <v>146</v>
      </c>
      <c r="C628" s="4" t="s">
        <v>246</v>
      </c>
      <c r="D628" s="8">
        <v>45834</v>
      </c>
      <c r="E628" s="11">
        <v>1000000</v>
      </c>
    </row>
    <row r="629" spans="1:5" x14ac:dyDescent="0.3">
      <c r="A629" s="13" t="s">
        <v>64</v>
      </c>
      <c r="B629" s="4" t="s">
        <v>164</v>
      </c>
      <c r="C629" s="4" t="s">
        <v>264</v>
      </c>
      <c r="D629" s="8">
        <v>45834</v>
      </c>
      <c r="E629" s="11">
        <v>3000000</v>
      </c>
    </row>
    <row r="630" spans="1:5" x14ac:dyDescent="0.3">
      <c r="A630" s="13" t="s">
        <v>86</v>
      </c>
      <c r="B630" s="4" t="s">
        <v>186</v>
      </c>
      <c r="C630" s="4" t="s">
        <v>286</v>
      </c>
      <c r="D630" s="8">
        <v>45834</v>
      </c>
      <c r="E630" s="11">
        <v>150000</v>
      </c>
    </row>
    <row r="631" spans="1:5" x14ac:dyDescent="0.3">
      <c r="A631" s="13" t="s">
        <v>78</v>
      </c>
      <c r="B631" s="4" t="s">
        <v>178</v>
      </c>
      <c r="C631" s="4" t="s">
        <v>278</v>
      </c>
      <c r="D631" s="8">
        <v>45834</v>
      </c>
      <c r="E631" s="11">
        <v>5000000</v>
      </c>
    </row>
    <row r="632" spans="1:5" x14ac:dyDescent="0.3">
      <c r="A632" s="13" t="s">
        <v>16</v>
      </c>
      <c r="B632" s="4" t="s">
        <v>116</v>
      </c>
      <c r="C632" s="4" t="s">
        <v>216</v>
      </c>
      <c r="D632" s="8">
        <v>45835</v>
      </c>
      <c r="E632" s="11">
        <v>1000000</v>
      </c>
    </row>
    <row r="633" spans="1:5" x14ac:dyDescent="0.3">
      <c r="A633" s="13" t="s">
        <v>14</v>
      </c>
      <c r="B633" s="4" t="s">
        <v>114</v>
      </c>
      <c r="C633" s="4" t="s">
        <v>214</v>
      </c>
      <c r="D633" s="8">
        <v>45835</v>
      </c>
      <c r="E633" s="11">
        <v>50000</v>
      </c>
    </row>
    <row r="634" spans="1:5" x14ac:dyDescent="0.3">
      <c r="A634" s="13" t="s">
        <v>55</v>
      </c>
      <c r="B634" s="4" t="s">
        <v>155</v>
      </c>
      <c r="C634" s="4" t="s">
        <v>255</v>
      </c>
      <c r="D634" s="8">
        <v>45835</v>
      </c>
      <c r="E634" s="11">
        <v>500000</v>
      </c>
    </row>
    <row r="635" spans="1:5" x14ac:dyDescent="0.3">
      <c r="A635" s="13" t="s">
        <v>78</v>
      </c>
      <c r="B635" s="4" t="s">
        <v>178</v>
      </c>
      <c r="C635" s="4" t="s">
        <v>278</v>
      </c>
      <c r="D635" s="8">
        <v>45835</v>
      </c>
      <c r="E635" s="11">
        <v>20000000</v>
      </c>
    </row>
    <row r="636" spans="1:5" x14ac:dyDescent="0.3">
      <c r="A636" s="13" t="s">
        <v>38</v>
      </c>
      <c r="B636" s="4" t="s">
        <v>138</v>
      </c>
      <c r="C636" s="4" t="s">
        <v>238</v>
      </c>
      <c r="D636" s="8">
        <v>45835</v>
      </c>
      <c r="E636" s="11">
        <v>1000000</v>
      </c>
    </row>
    <row r="637" spans="1:5" x14ac:dyDescent="0.3">
      <c r="A637" s="13" t="s">
        <v>11</v>
      </c>
      <c r="B637" s="4" t="s">
        <v>111</v>
      </c>
      <c r="C637" s="4" t="s">
        <v>211</v>
      </c>
      <c r="D637" s="8">
        <v>45835</v>
      </c>
      <c r="E637" s="11">
        <v>150000</v>
      </c>
    </row>
    <row r="638" spans="1:5" x14ac:dyDescent="0.3">
      <c r="A638" s="13" t="s">
        <v>28</v>
      </c>
      <c r="B638" s="4" t="s">
        <v>128</v>
      </c>
      <c r="C638" s="4" t="s">
        <v>228</v>
      </c>
      <c r="D638" s="8">
        <v>45835</v>
      </c>
      <c r="E638" s="11">
        <v>3000000</v>
      </c>
    </row>
    <row r="639" spans="1:5" x14ac:dyDescent="0.3">
      <c r="A639" s="13" t="s">
        <v>56</v>
      </c>
      <c r="B639" s="4" t="s">
        <v>156</v>
      </c>
      <c r="C639" s="4" t="s">
        <v>256</v>
      </c>
      <c r="D639" s="8">
        <v>45835</v>
      </c>
      <c r="E639" s="11">
        <v>150000</v>
      </c>
    </row>
    <row r="640" spans="1:5" x14ac:dyDescent="0.3">
      <c r="A640" s="13" t="s">
        <v>21</v>
      </c>
      <c r="B640" s="4" t="s">
        <v>121</v>
      </c>
      <c r="C640" s="4" t="s">
        <v>221</v>
      </c>
      <c r="D640" s="8">
        <v>45836</v>
      </c>
      <c r="E640" s="11">
        <v>7000000</v>
      </c>
    </row>
    <row r="641" spans="1:5" x14ac:dyDescent="0.3">
      <c r="A641" s="13" t="s">
        <v>43</v>
      </c>
      <c r="B641" s="4" t="s">
        <v>143</v>
      </c>
      <c r="C641" s="4" t="s">
        <v>243</v>
      </c>
      <c r="D641" s="8">
        <v>45836</v>
      </c>
      <c r="E641" s="11">
        <v>150000</v>
      </c>
    </row>
    <row r="642" spans="1:5" x14ac:dyDescent="0.3">
      <c r="A642" s="13" t="s">
        <v>81</v>
      </c>
      <c r="B642" s="4" t="s">
        <v>181</v>
      </c>
      <c r="C642" s="4" t="s">
        <v>281</v>
      </c>
      <c r="D642" s="8">
        <v>45836</v>
      </c>
      <c r="E642" s="11">
        <v>200000</v>
      </c>
    </row>
    <row r="643" spans="1:5" x14ac:dyDescent="0.3">
      <c r="A643" s="13" t="s">
        <v>62</v>
      </c>
      <c r="B643" s="4" t="s">
        <v>162</v>
      </c>
      <c r="C643" s="4" t="s">
        <v>262</v>
      </c>
      <c r="D643" s="8">
        <v>45836</v>
      </c>
      <c r="E643" s="11">
        <v>100000</v>
      </c>
    </row>
    <row r="644" spans="1:5" x14ac:dyDescent="0.3">
      <c r="A644" s="13" t="s">
        <v>19</v>
      </c>
      <c r="B644" s="4" t="s">
        <v>119</v>
      </c>
      <c r="C644" s="4" t="s">
        <v>219</v>
      </c>
      <c r="D644" s="8">
        <v>45836</v>
      </c>
      <c r="E644" s="11">
        <v>10000000</v>
      </c>
    </row>
    <row r="645" spans="1:5" x14ac:dyDescent="0.3">
      <c r="A645" s="13" t="s">
        <v>22</v>
      </c>
      <c r="B645" s="4" t="s">
        <v>122</v>
      </c>
      <c r="C645" s="4" t="s">
        <v>222</v>
      </c>
      <c r="D645" s="8">
        <v>45838</v>
      </c>
      <c r="E645" s="11">
        <v>2000000</v>
      </c>
    </row>
    <row r="646" spans="1:5" x14ac:dyDescent="0.3">
      <c r="A646" s="13" t="s">
        <v>51</v>
      </c>
      <c r="B646" s="4" t="s">
        <v>151</v>
      </c>
      <c r="C646" s="4" t="s">
        <v>251</v>
      </c>
      <c r="D646" s="8">
        <v>45838</v>
      </c>
      <c r="E646" s="11">
        <v>10000000</v>
      </c>
    </row>
    <row r="647" spans="1:5" x14ac:dyDescent="0.3">
      <c r="A647" s="13" t="s">
        <v>25</v>
      </c>
      <c r="B647" s="4" t="s">
        <v>125</v>
      </c>
      <c r="C647" s="4" t="s">
        <v>225</v>
      </c>
      <c r="D647" s="8">
        <v>45839</v>
      </c>
      <c r="E647" s="11">
        <v>20000000</v>
      </c>
    </row>
    <row r="648" spans="1:5" x14ac:dyDescent="0.3">
      <c r="A648" s="13" t="s">
        <v>89</v>
      </c>
      <c r="B648" s="4" t="s">
        <v>189</v>
      </c>
      <c r="C648" s="4" t="s">
        <v>289</v>
      </c>
      <c r="D648" s="8">
        <v>45839</v>
      </c>
      <c r="E648" s="11">
        <v>5000000</v>
      </c>
    </row>
    <row r="649" spans="1:5" x14ac:dyDescent="0.3">
      <c r="A649" s="13" t="s">
        <v>22</v>
      </c>
      <c r="B649" s="4" t="s">
        <v>122</v>
      </c>
      <c r="C649" s="4" t="s">
        <v>222</v>
      </c>
      <c r="D649" s="8">
        <v>45840</v>
      </c>
      <c r="E649" s="11">
        <v>50000</v>
      </c>
    </row>
    <row r="650" spans="1:5" x14ac:dyDescent="0.3">
      <c r="A650" s="13" t="s">
        <v>93</v>
      </c>
      <c r="B650" s="4" t="s">
        <v>193</v>
      </c>
      <c r="C650" s="4" t="s">
        <v>293</v>
      </c>
      <c r="D650" s="8">
        <v>45840</v>
      </c>
      <c r="E650" s="11">
        <v>50000</v>
      </c>
    </row>
    <row r="651" spans="1:5" x14ac:dyDescent="0.3">
      <c r="A651" s="13" t="s">
        <v>28</v>
      </c>
      <c r="B651" s="4" t="s">
        <v>128</v>
      </c>
      <c r="C651" s="4" t="s">
        <v>228</v>
      </c>
      <c r="D651" s="8">
        <v>45841</v>
      </c>
      <c r="E651" s="11">
        <v>250000</v>
      </c>
    </row>
    <row r="652" spans="1:5" x14ac:dyDescent="0.3">
      <c r="A652" s="13" t="s">
        <v>89</v>
      </c>
      <c r="B652" s="4" t="s">
        <v>189</v>
      </c>
      <c r="C652" s="4" t="s">
        <v>289</v>
      </c>
      <c r="D652" s="8">
        <v>45841</v>
      </c>
      <c r="E652" s="11">
        <v>150000</v>
      </c>
    </row>
    <row r="653" spans="1:5" x14ac:dyDescent="0.3">
      <c r="A653" s="13" t="s">
        <v>97</v>
      </c>
      <c r="B653" s="4" t="s">
        <v>197</v>
      </c>
      <c r="C653" s="4" t="s">
        <v>297</v>
      </c>
      <c r="D653" s="8">
        <v>45841</v>
      </c>
      <c r="E653" s="11">
        <v>20000000</v>
      </c>
    </row>
    <row r="654" spans="1:5" x14ac:dyDescent="0.3">
      <c r="A654" s="13" t="s">
        <v>72</v>
      </c>
      <c r="B654" s="4" t="s">
        <v>172</v>
      </c>
      <c r="C654" s="4" t="s">
        <v>272</v>
      </c>
      <c r="D654" s="8">
        <v>45841</v>
      </c>
      <c r="E654" s="11">
        <v>100000</v>
      </c>
    </row>
    <row r="655" spans="1:5" x14ac:dyDescent="0.3">
      <c r="A655" s="13" t="s">
        <v>50</v>
      </c>
      <c r="B655" s="4" t="s">
        <v>150</v>
      </c>
      <c r="C655" s="4" t="s">
        <v>250</v>
      </c>
      <c r="D655" s="8">
        <v>45841</v>
      </c>
      <c r="E655" s="11">
        <v>200000</v>
      </c>
    </row>
    <row r="656" spans="1:5" x14ac:dyDescent="0.3">
      <c r="A656" s="13" t="s">
        <v>90</v>
      </c>
      <c r="B656" s="4" t="s">
        <v>190</v>
      </c>
      <c r="C656" s="4" t="s">
        <v>290</v>
      </c>
      <c r="D656" s="8">
        <v>45842</v>
      </c>
      <c r="E656" s="11">
        <v>100000</v>
      </c>
    </row>
    <row r="657" spans="1:5" x14ac:dyDescent="0.3">
      <c r="A657" s="13" t="s">
        <v>25</v>
      </c>
      <c r="B657" s="4" t="s">
        <v>125</v>
      </c>
      <c r="C657" s="4" t="s">
        <v>225</v>
      </c>
      <c r="D657" s="8">
        <v>45842</v>
      </c>
      <c r="E657" s="11">
        <v>150000</v>
      </c>
    </row>
    <row r="658" spans="1:5" x14ac:dyDescent="0.3">
      <c r="A658" s="13" t="s">
        <v>49</v>
      </c>
      <c r="B658" s="4" t="s">
        <v>149</v>
      </c>
      <c r="C658" s="4" t="s">
        <v>249</v>
      </c>
      <c r="D658" s="8">
        <v>45842</v>
      </c>
      <c r="E658" s="11">
        <v>250000</v>
      </c>
    </row>
    <row r="659" spans="1:5" x14ac:dyDescent="0.3">
      <c r="A659" s="13" t="s">
        <v>93</v>
      </c>
      <c r="B659" s="4" t="s">
        <v>193</v>
      </c>
      <c r="C659" s="4" t="s">
        <v>293</v>
      </c>
      <c r="D659" s="8">
        <v>45842</v>
      </c>
      <c r="E659" s="11">
        <v>500000</v>
      </c>
    </row>
    <row r="660" spans="1:5" x14ac:dyDescent="0.3">
      <c r="A660" s="13" t="s">
        <v>82</v>
      </c>
      <c r="B660" s="4" t="s">
        <v>182</v>
      </c>
      <c r="C660" s="4" t="s">
        <v>282</v>
      </c>
      <c r="D660" s="8">
        <v>45842</v>
      </c>
      <c r="E660" s="11">
        <v>250000</v>
      </c>
    </row>
    <row r="661" spans="1:5" x14ac:dyDescent="0.3">
      <c r="A661" s="13" t="s">
        <v>9</v>
      </c>
      <c r="B661" s="4" t="s">
        <v>109</v>
      </c>
      <c r="C661" s="4" t="s">
        <v>209</v>
      </c>
      <c r="D661" s="8">
        <v>45843</v>
      </c>
      <c r="E661" s="11">
        <v>10000000</v>
      </c>
    </row>
    <row r="662" spans="1:5" x14ac:dyDescent="0.3">
      <c r="A662" s="13" t="s">
        <v>37</v>
      </c>
      <c r="B662" s="4" t="s">
        <v>137</v>
      </c>
      <c r="C662" s="4" t="s">
        <v>237</v>
      </c>
      <c r="D662" s="8">
        <v>45843</v>
      </c>
      <c r="E662" s="11">
        <v>10000000</v>
      </c>
    </row>
    <row r="663" spans="1:5" x14ac:dyDescent="0.3">
      <c r="A663" s="13" t="s">
        <v>16</v>
      </c>
      <c r="B663" s="4" t="s">
        <v>116</v>
      </c>
      <c r="C663" s="4" t="s">
        <v>216</v>
      </c>
      <c r="D663" s="8">
        <v>45843</v>
      </c>
      <c r="E663" s="11">
        <v>3000000</v>
      </c>
    </row>
    <row r="664" spans="1:5" x14ac:dyDescent="0.3">
      <c r="A664" s="13" t="s">
        <v>36</v>
      </c>
      <c r="B664" s="4" t="s">
        <v>136</v>
      </c>
      <c r="C664" s="4" t="s">
        <v>236</v>
      </c>
      <c r="D664" s="8">
        <v>45844</v>
      </c>
      <c r="E664" s="11">
        <v>50000</v>
      </c>
    </row>
    <row r="665" spans="1:5" x14ac:dyDescent="0.3">
      <c r="A665" s="13" t="s">
        <v>98</v>
      </c>
      <c r="B665" s="4" t="s">
        <v>198</v>
      </c>
      <c r="C665" s="4" t="s">
        <v>298</v>
      </c>
      <c r="D665" s="8">
        <v>45844</v>
      </c>
      <c r="E665" s="11">
        <v>1000000</v>
      </c>
    </row>
    <row r="666" spans="1:5" x14ac:dyDescent="0.3">
      <c r="A666" s="13" t="s">
        <v>15</v>
      </c>
      <c r="B666" s="4" t="s">
        <v>115</v>
      </c>
      <c r="C666" s="4" t="s">
        <v>215</v>
      </c>
      <c r="D666" s="8">
        <v>45844</v>
      </c>
      <c r="E666" s="11">
        <v>2000000</v>
      </c>
    </row>
    <row r="667" spans="1:5" x14ac:dyDescent="0.3">
      <c r="A667" s="13" t="s">
        <v>28</v>
      </c>
      <c r="B667" s="4" t="s">
        <v>128</v>
      </c>
      <c r="C667" s="4" t="s">
        <v>228</v>
      </c>
      <c r="D667" s="8">
        <v>45844</v>
      </c>
      <c r="E667" s="11">
        <v>1000000</v>
      </c>
    </row>
    <row r="668" spans="1:5" x14ac:dyDescent="0.3">
      <c r="A668" s="13" t="s">
        <v>82</v>
      </c>
      <c r="B668" s="4" t="s">
        <v>182</v>
      </c>
      <c r="C668" s="4" t="s">
        <v>282</v>
      </c>
      <c r="D668" s="8">
        <v>45844</v>
      </c>
      <c r="E668" s="11">
        <v>10000000</v>
      </c>
    </row>
    <row r="669" spans="1:5" x14ac:dyDescent="0.3">
      <c r="A669" s="13" t="s">
        <v>77</v>
      </c>
      <c r="B669" s="4" t="s">
        <v>177</v>
      </c>
      <c r="C669" s="4" t="s">
        <v>277</v>
      </c>
      <c r="D669" s="8">
        <v>45845</v>
      </c>
      <c r="E669" s="11">
        <v>10000000</v>
      </c>
    </row>
    <row r="670" spans="1:5" x14ac:dyDescent="0.3">
      <c r="A670" s="13" t="s">
        <v>34</v>
      </c>
      <c r="B670" s="4" t="s">
        <v>134</v>
      </c>
      <c r="C670" s="4" t="s">
        <v>234</v>
      </c>
      <c r="D670" s="8">
        <v>45845</v>
      </c>
      <c r="E670" s="11">
        <v>2000000</v>
      </c>
    </row>
    <row r="671" spans="1:5" x14ac:dyDescent="0.3">
      <c r="A671" s="13" t="s">
        <v>86</v>
      </c>
      <c r="B671" s="4" t="s">
        <v>186</v>
      </c>
      <c r="C671" s="4" t="s">
        <v>286</v>
      </c>
      <c r="D671" s="8">
        <v>45845</v>
      </c>
      <c r="E671" s="11">
        <v>50000</v>
      </c>
    </row>
    <row r="672" spans="1:5" x14ac:dyDescent="0.3">
      <c r="A672" s="13" t="s">
        <v>80</v>
      </c>
      <c r="B672" s="4" t="s">
        <v>180</v>
      </c>
      <c r="C672" s="4" t="s">
        <v>280</v>
      </c>
      <c r="D672" s="8">
        <v>45845</v>
      </c>
      <c r="E672" s="11">
        <v>5000000</v>
      </c>
    </row>
    <row r="673" spans="1:5" x14ac:dyDescent="0.3">
      <c r="A673" s="13" t="s">
        <v>20</v>
      </c>
      <c r="B673" s="4" t="s">
        <v>120</v>
      </c>
      <c r="C673" s="4" t="s">
        <v>220</v>
      </c>
      <c r="D673" s="8">
        <v>45845</v>
      </c>
      <c r="E673" s="11">
        <v>250000</v>
      </c>
    </row>
    <row r="674" spans="1:5" x14ac:dyDescent="0.3">
      <c r="A674" s="13" t="s">
        <v>68</v>
      </c>
      <c r="B674" s="4" t="s">
        <v>168</v>
      </c>
      <c r="C674" s="4" t="s">
        <v>268</v>
      </c>
      <c r="D674" s="8">
        <v>45846</v>
      </c>
      <c r="E674" s="11">
        <v>50000</v>
      </c>
    </row>
    <row r="675" spans="1:5" x14ac:dyDescent="0.3">
      <c r="A675" s="13" t="s">
        <v>57</v>
      </c>
      <c r="B675" s="4" t="s">
        <v>157</v>
      </c>
      <c r="C675" s="4" t="s">
        <v>257</v>
      </c>
      <c r="D675" s="8">
        <v>45846</v>
      </c>
      <c r="E675" s="11">
        <v>5000000</v>
      </c>
    </row>
    <row r="676" spans="1:5" x14ac:dyDescent="0.3">
      <c r="A676" s="13" t="s">
        <v>43</v>
      </c>
      <c r="B676" s="4" t="s">
        <v>143</v>
      </c>
      <c r="C676" s="4" t="s">
        <v>243</v>
      </c>
      <c r="D676" s="8">
        <v>45846</v>
      </c>
      <c r="E676" s="11">
        <v>200000</v>
      </c>
    </row>
    <row r="677" spans="1:5" x14ac:dyDescent="0.3">
      <c r="A677" s="13" t="s">
        <v>50</v>
      </c>
      <c r="B677" s="4" t="s">
        <v>150</v>
      </c>
      <c r="C677" s="4" t="s">
        <v>250</v>
      </c>
      <c r="D677" s="8">
        <v>45847</v>
      </c>
      <c r="E677" s="11">
        <v>7000000</v>
      </c>
    </row>
    <row r="678" spans="1:5" x14ac:dyDescent="0.3">
      <c r="A678" s="13" t="s">
        <v>9</v>
      </c>
      <c r="B678" s="4" t="s">
        <v>109</v>
      </c>
      <c r="C678" s="4" t="s">
        <v>209</v>
      </c>
      <c r="D678" s="8">
        <v>45847</v>
      </c>
      <c r="E678" s="11">
        <v>2000000</v>
      </c>
    </row>
    <row r="679" spans="1:5" x14ac:dyDescent="0.3">
      <c r="A679" s="13" t="s">
        <v>64</v>
      </c>
      <c r="B679" s="4" t="s">
        <v>164</v>
      </c>
      <c r="C679" s="4" t="s">
        <v>264</v>
      </c>
      <c r="D679" s="8">
        <v>45848</v>
      </c>
      <c r="E679" s="11">
        <v>250000</v>
      </c>
    </row>
    <row r="680" spans="1:5" x14ac:dyDescent="0.3">
      <c r="A680" s="13" t="s">
        <v>26</v>
      </c>
      <c r="B680" s="4" t="s">
        <v>126</v>
      </c>
      <c r="C680" s="4" t="s">
        <v>226</v>
      </c>
      <c r="D680" s="8">
        <v>45848</v>
      </c>
      <c r="E680" s="11">
        <v>200000</v>
      </c>
    </row>
    <row r="681" spans="1:5" x14ac:dyDescent="0.3">
      <c r="A681" s="13" t="s">
        <v>44</v>
      </c>
      <c r="B681" s="4" t="s">
        <v>144</v>
      </c>
      <c r="C681" s="4" t="s">
        <v>244</v>
      </c>
      <c r="D681" s="8">
        <v>45848</v>
      </c>
      <c r="E681" s="11">
        <v>5000000</v>
      </c>
    </row>
    <row r="682" spans="1:5" x14ac:dyDescent="0.3">
      <c r="A682" s="13" t="s">
        <v>50</v>
      </c>
      <c r="B682" s="4" t="s">
        <v>150</v>
      </c>
      <c r="C682" s="4" t="s">
        <v>250</v>
      </c>
      <c r="D682" s="8">
        <v>45849</v>
      </c>
      <c r="E682" s="11">
        <v>100000</v>
      </c>
    </row>
    <row r="683" spans="1:5" x14ac:dyDescent="0.3">
      <c r="A683" s="13" t="s">
        <v>93</v>
      </c>
      <c r="B683" s="4" t="s">
        <v>193</v>
      </c>
      <c r="C683" s="4" t="s">
        <v>293</v>
      </c>
      <c r="D683" s="8">
        <v>45849</v>
      </c>
      <c r="E683" s="11">
        <v>50000</v>
      </c>
    </row>
    <row r="684" spans="1:5" x14ac:dyDescent="0.3">
      <c r="A684" s="13" t="s">
        <v>67</v>
      </c>
      <c r="B684" s="4" t="s">
        <v>167</v>
      </c>
      <c r="C684" s="4" t="s">
        <v>267</v>
      </c>
      <c r="D684" s="8">
        <v>45849</v>
      </c>
      <c r="E684" s="11">
        <v>10000000</v>
      </c>
    </row>
    <row r="685" spans="1:5" x14ac:dyDescent="0.3">
      <c r="A685" s="13" t="s">
        <v>37</v>
      </c>
      <c r="B685" s="4" t="s">
        <v>137</v>
      </c>
      <c r="C685" s="4" t="s">
        <v>237</v>
      </c>
      <c r="D685" s="8">
        <v>45849</v>
      </c>
      <c r="E685" s="11">
        <v>2000000</v>
      </c>
    </row>
    <row r="686" spans="1:5" x14ac:dyDescent="0.3">
      <c r="A686" s="13" t="s">
        <v>98</v>
      </c>
      <c r="B686" s="4" t="s">
        <v>198</v>
      </c>
      <c r="C686" s="4" t="s">
        <v>298</v>
      </c>
      <c r="D686" s="8">
        <v>45849</v>
      </c>
      <c r="E686" s="11">
        <v>2000000</v>
      </c>
    </row>
    <row r="687" spans="1:5" x14ac:dyDescent="0.3">
      <c r="A687" s="13" t="s">
        <v>79</v>
      </c>
      <c r="B687" s="4" t="s">
        <v>179</v>
      </c>
      <c r="C687" s="4" t="s">
        <v>279</v>
      </c>
      <c r="D687" s="8">
        <v>45850</v>
      </c>
      <c r="E687" s="11">
        <v>7000000</v>
      </c>
    </row>
    <row r="688" spans="1:5" x14ac:dyDescent="0.3">
      <c r="A688" s="13" t="s">
        <v>13</v>
      </c>
      <c r="B688" s="4" t="s">
        <v>113</v>
      </c>
      <c r="C688" s="4" t="s">
        <v>213</v>
      </c>
      <c r="D688" s="8">
        <v>45850</v>
      </c>
      <c r="E688" s="11">
        <v>200000</v>
      </c>
    </row>
    <row r="689" spans="1:5" x14ac:dyDescent="0.3">
      <c r="A689" s="13" t="s">
        <v>42</v>
      </c>
      <c r="B689" s="4" t="s">
        <v>142</v>
      </c>
      <c r="C689" s="4" t="s">
        <v>242</v>
      </c>
      <c r="D689" s="8">
        <v>45850</v>
      </c>
      <c r="E689" s="11">
        <v>100000</v>
      </c>
    </row>
    <row r="690" spans="1:5" x14ac:dyDescent="0.3">
      <c r="A690" s="13" t="s">
        <v>104</v>
      </c>
      <c r="B690" s="4" t="s">
        <v>204</v>
      </c>
      <c r="C690" s="4" t="s">
        <v>304</v>
      </c>
      <c r="D690" s="8">
        <v>45850</v>
      </c>
      <c r="E690" s="11">
        <v>250000</v>
      </c>
    </row>
    <row r="691" spans="1:5" x14ac:dyDescent="0.3">
      <c r="A691" s="13" t="s">
        <v>67</v>
      </c>
      <c r="B691" s="4" t="s">
        <v>167</v>
      </c>
      <c r="C691" s="4" t="s">
        <v>267</v>
      </c>
      <c r="D691" s="8">
        <v>45850</v>
      </c>
      <c r="E691" s="11">
        <v>250000</v>
      </c>
    </row>
    <row r="692" spans="1:5" x14ac:dyDescent="0.3">
      <c r="A692" s="13" t="s">
        <v>98</v>
      </c>
      <c r="B692" s="4" t="s">
        <v>198</v>
      </c>
      <c r="C692" s="4" t="s">
        <v>298</v>
      </c>
      <c r="D692" s="8">
        <v>45850</v>
      </c>
      <c r="E692" s="11">
        <v>1000000</v>
      </c>
    </row>
    <row r="693" spans="1:5" x14ac:dyDescent="0.3">
      <c r="A693" s="13" t="s">
        <v>74</v>
      </c>
      <c r="B693" s="4" t="s">
        <v>174</v>
      </c>
      <c r="C693" s="4" t="s">
        <v>274</v>
      </c>
      <c r="D693" s="8">
        <v>45850</v>
      </c>
      <c r="E693" s="11">
        <v>100000</v>
      </c>
    </row>
    <row r="694" spans="1:5" x14ac:dyDescent="0.3">
      <c r="A694" s="13" t="s">
        <v>48</v>
      </c>
      <c r="B694" s="4" t="s">
        <v>148</v>
      </c>
      <c r="C694" s="4" t="s">
        <v>248</v>
      </c>
      <c r="D694" s="8">
        <v>45851</v>
      </c>
      <c r="E694" s="11">
        <v>200000</v>
      </c>
    </row>
    <row r="695" spans="1:5" x14ac:dyDescent="0.3">
      <c r="A695" s="13" t="s">
        <v>12</v>
      </c>
      <c r="B695" s="4" t="s">
        <v>112</v>
      </c>
      <c r="C695" s="4" t="s">
        <v>212</v>
      </c>
      <c r="D695" s="8">
        <v>45851</v>
      </c>
      <c r="E695" s="11">
        <v>2000000</v>
      </c>
    </row>
    <row r="696" spans="1:5" x14ac:dyDescent="0.3">
      <c r="A696" s="13" t="s">
        <v>86</v>
      </c>
      <c r="B696" s="4" t="s">
        <v>186</v>
      </c>
      <c r="C696" s="4" t="s">
        <v>286</v>
      </c>
      <c r="D696" s="8">
        <v>45851</v>
      </c>
      <c r="E696" s="11">
        <v>7000000</v>
      </c>
    </row>
    <row r="697" spans="1:5" x14ac:dyDescent="0.3">
      <c r="A697" s="13" t="s">
        <v>87</v>
      </c>
      <c r="B697" s="4" t="s">
        <v>187</v>
      </c>
      <c r="C697" s="4" t="s">
        <v>287</v>
      </c>
      <c r="D697" s="8">
        <v>45851</v>
      </c>
      <c r="E697" s="11">
        <v>150000</v>
      </c>
    </row>
    <row r="698" spans="1:5" x14ac:dyDescent="0.3">
      <c r="A698" s="13" t="s">
        <v>89</v>
      </c>
      <c r="B698" s="4" t="s">
        <v>189</v>
      </c>
      <c r="C698" s="4" t="s">
        <v>289</v>
      </c>
      <c r="D698" s="8">
        <v>45851</v>
      </c>
      <c r="E698" s="11">
        <v>3000000</v>
      </c>
    </row>
    <row r="699" spans="1:5" x14ac:dyDescent="0.3">
      <c r="A699" s="13" t="s">
        <v>59</v>
      </c>
      <c r="B699" s="4" t="s">
        <v>159</v>
      </c>
      <c r="C699" s="4" t="s">
        <v>259</v>
      </c>
      <c r="D699" s="8">
        <v>45851</v>
      </c>
      <c r="E699" s="11">
        <v>1000000</v>
      </c>
    </row>
    <row r="700" spans="1:5" x14ac:dyDescent="0.3">
      <c r="A700" s="13" t="s">
        <v>7</v>
      </c>
      <c r="B700" s="4" t="s">
        <v>107</v>
      </c>
      <c r="C700" s="4" t="s">
        <v>207</v>
      </c>
      <c r="D700" s="8">
        <v>45851</v>
      </c>
      <c r="E700" s="11">
        <v>150000</v>
      </c>
    </row>
    <row r="701" spans="1:5" x14ac:dyDescent="0.3">
      <c r="A701" s="13" t="s">
        <v>74</v>
      </c>
      <c r="B701" s="4" t="s">
        <v>174</v>
      </c>
      <c r="C701" s="4" t="s">
        <v>274</v>
      </c>
      <c r="D701" s="8">
        <v>45852</v>
      </c>
      <c r="E701" s="11">
        <v>5000000</v>
      </c>
    </row>
    <row r="702" spans="1:5" x14ac:dyDescent="0.3">
      <c r="A702" s="13" t="s">
        <v>73</v>
      </c>
      <c r="B702" s="4" t="s">
        <v>173</v>
      </c>
      <c r="C702" s="4" t="s">
        <v>273</v>
      </c>
      <c r="D702" s="8">
        <v>45853</v>
      </c>
      <c r="E702" s="11">
        <v>2000000</v>
      </c>
    </row>
    <row r="703" spans="1:5" x14ac:dyDescent="0.3">
      <c r="A703" s="13" t="s">
        <v>82</v>
      </c>
      <c r="B703" s="4" t="s">
        <v>182</v>
      </c>
      <c r="C703" s="4" t="s">
        <v>282</v>
      </c>
      <c r="D703" s="8">
        <v>45853</v>
      </c>
      <c r="E703" s="11">
        <v>1000000</v>
      </c>
    </row>
    <row r="704" spans="1:5" x14ac:dyDescent="0.3">
      <c r="A704" s="13" t="s">
        <v>86</v>
      </c>
      <c r="B704" s="4" t="s">
        <v>186</v>
      </c>
      <c r="C704" s="4" t="s">
        <v>286</v>
      </c>
      <c r="D704" s="8">
        <v>45853</v>
      </c>
      <c r="E704" s="11">
        <v>50000</v>
      </c>
    </row>
    <row r="705" spans="1:5" x14ac:dyDescent="0.3">
      <c r="A705" s="13" t="s">
        <v>47</v>
      </c>
      <c r="B705" s="4" t="s">
        <v>147</v>
      </c>
      <c r="C705" s="4" t="s">
        <v>247</v>
      </c>
      <c r="D705" s="8">
        <v>45853</v>
      </c>
      <c r="E705" s="11">
        <v>50000</v>
      </c>
    </row>
    <row r="706" spans="1:5" x14ac:dyDescent="0.3">
      <c r="A706" s="13" t="s">
        <v>6</v>
      </c>
      <c r="B706" s="4" t="s">
        <v>106</v>
      </c>
      <c r="C706" s="4" t="s">
        <v>206</v>
      </c>
      <c r="D706" s="8">
        <v>45854</v>
      </c>
      <c r="E706" s="11">
        <v>20000000</v>
      </c>
    </row>
    <row r="707" spans="1:5" x14ac:dyDescent="0.3">
      <c r="A707" s="13" t="s">
        <v>87</v>
      </c>
      <c r="B707" s="4" t="s">
        <v>187</v>
      </c>
      <c r="C707" s="4" t="s">
        <v>287</v>
      </c>
      <c r="D707" s="8">
        <v>45854</v>
      </c>
      <c r="E707" s="11">
        <v>200000</v>
      </c>
    </row>
    <row r="708" spans="1:5" x14ac:dyDescent="0.3">
      <c r="A708" s="13" t="s">
        <v>14</v>
      </c>
      <c r="B708" s="4" t="s">
        <v>114</v>
      </c>
      <c r="C708" s="4" t="s">
        <v>214</v>
      </c>
      <c r="D708" s="8">
        <v>45854</v>
      </c>
      <c r="E708" s="11">
        <v>500000</v>
      </c>
    </row>
    <row r="709" spans="1:5" x14ac:dyDescent="0.3">
      <c r="A709" s="13" t="s">
        <v>55</v>
      </c>
      <c r="B709" s="4" t="s">
        <v>155</v>
      </c>
      <c r="C709" s="4" t="s">
        <v>255</v>
      </c>
      <c r="D709" s="8">
        <v>45854</v>
      </c>
      <c r="E709" s="11">
        <v>1000000</v>
      </c>
    </row>
    <row r="710" spans="1:5" x14ac:dyDescent="0.3">
      <c r="A710" s="13" t="s">
        <v>64</v>
      </c>
      <c r="B710" s="4" t="s">
        <v>164</v>
      </c>
      <c r="C710" s="4" t="s">
        <v>264</v>
      </c>
      <c r="D710" s="8">
        <v>45854</v>
      </c>
      <c r="E710" s="11">
        <v>2000000</v>
      </c>
    </row>
    <row r="711" spans="1:5" x14ac:dyDescent="0.3">
      <c r="A711" s="13" t="s">
        <v>47</v>
      </c>
      <c r="B711" s="4" t="s">
        <v>147</v>
      </c>
      <c r="C711" s="4" t="s">
        <v>247</v>
      </c>
      <c r="D711" s="8">
        <v>45854</v>
      </c>
      <c r="E711" s="11">
        <v>1000000</v>
      </c>
    </row>
    <row r="712" spans="1:5" x14ac:dyDescent="0.3">
      <c r="A712" s="13" t="s">
        <v>70</v>
      </c>
      <c r="B712" s="4" t="s">
        <v>170</v>
      </c>
      <c r="C712" s="4" t="s">
        <v>270</v>
      </c>
      <c r="D712" s="8">
        <v>45854</v>
      </c>
      <c r="E712" s="11">
        <v>50000</v>
      </c>
    </row>
    <row r="713" spans="1:5" x14ac:dyDescent="0.3">
      <c r="A713" s="13" t="s">
        <v>8</v>
      </c>
      <c r="B713" s="4" t="s">
        <v>108</v>
      </c>
      <c r="C713" s="4" t="s">
        <v>208</v>
      </c>
      <c r="D713" s="8">
        <v>45854</v>
      </c>
      <c r="E713" s="11">
        <v>5000000</v>
      </c>
    </row>
    <row r="714" spans="1:5" x14ac:dyDescent="0.3">
      <c r="A714" s="13" t="s">
        <v>101</v>
      </c>
      <c r="B714" s="4" t="s">
        <v>201</v>
      </c>
      <c r="C714" s="4" t="s">
        <v>301</v>
      </c>
      <c r="D714" s="8">
        <v>45854</v>
      </c>
      <c r="E714" s="11">
        <v>100000</v>
      </c>
    </row>
    <row r="715" spans="1:5" x14ac:dyDescent="0.3">
      <c r="A715" s="13" t="s">
        <v>81</v>
      </c>
      <c r="B715" s="4" t="s">
        <v>181</v>
      </c>
      <c r="C715" s="4" t="s">
        <v>281</v>
      </c>
      <c r="D715" s="8">
        <v>45855</v>
      </c>
      <c r="E715" s="11">
        <v>50000</v>
      </c>
    </row>
    <row r="716" spans="1:5" x14ac:dyDescent="0.3">
      <c r="A716" s="13" t="s">
        <v>85</v>
      </c>
      <c r="B716" s="4" t="s">
        <v>185</v>
      </c>
      <c r="C716" s="4" t="s">
        <v>285</v>
      </c>
      <c r="D716" s="8">
        <v>45855</v>
      </c>
      <c r="E716" s="11">
        <v>2000000</v>
      </c>
    </row>
    <row r="717" spans="1:5" x14ac:dyDescent="0.3">
      <c r="A717" s="13" t="s">
        <v>66</v>
      </c>
      <c r="B717" s="4" t="s">
        <v>166</v>
      </c>
      <c r="C717" s="4" t="s">
        <v>266</v>
      </c>
      <c r="D717" s="8">
        <v>45855</v>
      </c>
      <c r="E717" s="11">
        <v>3000000</v>
      </c>
    </row>
    <row r="718" spans="1:5" x14ac:dyDescent="0.3">
      <c r="A718" s="13" t="s">
        <v>47</v>
      </c>
      <c r="B718" s="4" t="s">
        <v>147</v>
      </c>
      <c r="C718" s="4" t="s">
        <v>247</v>
      </c>
      <c r="D718" s="8">
        <v>45855</v>
      </c>
      <c r="E718" s="11">
        <v>10000000</v>
      </c>
    </row>
    <row r="719" spans="1:5" x14ac:dyDescent="0.3">
      <c r="A719" s="13" t="s">
        <v>66</v>
      </c>
      <c r="B719" s="4" t="s">
        <v>166</v>
      </c>
      <c r="C719" s="4" t="s">
        <v>266</v>
      </c>
      <c r="D719" s="8">
        <v>45855</v>
      </c>
      <c r="E719" s="11">
        <v>50000</v>
      </c>
    </row>
    <row r="720" spans="1:5" x14ac:dyDescent="0.3">
      <c r="A720" s="13" t="s">
        <v>50</v>
      </c>
      <c r="B720" s="4" t="s">
        <v>150</v>
      </c>
      <c r="C720" s="4" t="s">
        <v>250</v>
      </c>
      <c r="D720" s="8">
        <v>45855</v>
      </c>
      <c r="E720" s="11">
        <v>5000000</v>
      </c>
    </row>
    <row r="721" spans="1:5" x14ac:dyDescent="0.3">
      <c r="A721" s="13" t="s">
        <v>97</v>
      </c>
      <c r="B721" s="4" t="s">
        <v>197</v>
      </c>
      <c r="C721" s="4" t="s">
        <v>297</v>
      </c>
      <c r="D721" s="8">
        <v>45855</v>
      </c>
      <c r="E721" s="11">
        <v>3000000</v>
      </c>
    </row>
    <row r="722" spans="1:5" x14ac:dyDescent="0.3">
      <c r="A722" s="13" t="s">
        <v>15</v>
      </c>
      <c r="B722" s="4" t="s">
        <v>115</v>
      </c>
      <c r="C722" s="4" t="s">
        <v>215</v>
      </c>
      <c r="D722" s="8">
        <v>45856</v>
      </c>
      <c r="E722" s="11">
        <v>500000</v>
      </c>
    </row>
    <row r="723" spans="1:5" x14ac:dyDescent="0.3">
      <c r="A723" s="13" t="s">
        <v>49</v>
      </c>
      <c r="B723" s="4" t="s">
        <v>149</v>
      </c>
      <c r="C723" s="4" t="s">
        <v>249</v>
      </c>
      <c r="D723" s="8">
        <v>45856</v>
      </c>
      <c r="E723" s="11">
        <v>150000</v>
      </c>
    </row>
    <row r="724" spans="1:5" x14ac:dyDescent="0.3">
      <c r="A724" s="13" t="s">
        <v>7</v>
      </c>
      <c r="B724" s="4" t="s">
        <v>107</v>
      </c>
      <c r="C724" s="4" t="s">
        <v>207</v>
      </c>
      <c r="D724" s="8">
        <v>45856</v>
      </c>
      <c r="E724" s="11">
        <v>20000000</v>
      </c>
    </row>
    <row r="725" spans="1:5" x14ac:dyDescent="0.3">
      <c r="A725" s="13" t="s">
        <v>6</v>
      </c>
      <c r="B725" s="4" t="s">
        <v>106</v>
      </c>
      <c r="C725" s="4" t="s">
        <v>206</v>
      </c>
      <c r="D725" s="8">
        <v>45857</v>
      </c>
      <c r="E725" s="11">
        <v>5000000</v>
      </c>
    </row>
    <row r="726" spans="1:5" x14ac:dyDescent="0.3">
      <c r="A726" s="13" t="s">
        <v>42</v>
      </c>
      <c r="B726" s="4" t="s">
        <v>142</v>
      </c>
      <c r="C726" s="4" t="s">
        <v>242</v>
      </c>
      <c r="D726" s="8">
        <v>45857</v>
      </c>
      <c r="E726" s="11">
        <v>250000</v>
      </c>
    </row>
    <row r="727" spans="1:5" x14ac:dyDescent="0.3">
      <c r="A727" s="13" t="s">
        <v>84</v>
      </c>
      <c r="B727" s="4" t="s">
        <v>184</v>
      </c>
      <c r="C727" s="4" t="s">
        <v>284</v>
      </c>
      <c r="D727" s="8">
        <v>45857</v>
      </c>
      <c r="E727" s="11">
        <v>10000000</v>
      </c>
    </row>
    <row r="728" spans="1:5" x14ac:dyDescent="0.3">
      <c r="A728" s="13" t="s">
        <v>91</v>
      </c>
      <c r="B728" s="4" t="s">
        <v>191</v>
      </c>
      <c r="C728" s="4" t="s">
        <v>291</v>
      </c>
      <c r="D728" s="8">
        <v>45857</v>
      </c>
      <c r="E728" s="11">
        <v>50000</v>
      </c>
    </row>
    <row r="729" spans="1:5" x14ac:dyDescent="0.3">
      <c r="A729" s="13" t="s">
        <v>38</v>
      </c>
      <c r="B729" s="4" t="s">
        <v>138</v>
      </c>
      <c r="C729" s="4" t="s">
        <v>238</v>
      </c>
      <c r="D729" s="8">
        <v>45858</v>
      </c>
      <c r="E729" s="11">
        <v>3000000</v>
      </c>
    </row>
    <row r="730" spans="1:5" x14ac:dyDescent="0.3">
      <c r="A730" s="13" t="s">
        <v>57</v>
      </c>
      <c r="B730" s="4" t="s">
        <v>157</v>
      </c>
      <c r="C730" s="4" t="s">
        <v>257</v>
      </c>
      <c r="D730" s="8">
        <v>45858</v>
      </c>
      <c r="E730" s="11">
        <v>500000</v>
      </c>
    </row>
    <row r="731" spans="1:5" x14ac:dyDescent="0.3">
      <c r="A731" s="13" t="s">
        <v>98</v>
      </c>
      <c r="B731" s="4" t="s">
        <v>198</v>
      </c>
      <c r="C731" s="4" t="s">
        <v>298</v>
      </c>
      <c r="D731" s="8">
        <v>45858</v>
      </c>
      <c r="E731" s="11">
        <v>1000000</v>
      </c>
    </row>
    <row r="732" spans="1:5" x14ac:dyDescent="0.3">
      <c r="A732" s="13" t="s">
        <v>34</v>
      </c>
      <c r="B732" s="4" t="s">
        <v>134</v>
      </c>
      <c r="C732" s="4" t="s">
        <v>234</v>
      </c>
      <c r="D732" s="8">
        <v>45860</v>
      </c>
      <c r="E732" s="11">
        <v>7000000</v>
      </c>
    </row>
    <row r="733" spans="1:5" x14ac:dyDescent="0.3">
      <c r="A733" s="13" t="s">
        <v>21</v>
      </c>
      <c r="B733" s="4" t="s">
        <v>121</v>
      </c>
      <c r="C733" s="4" t="s">
        <v>221</v>
      </c>
      <c r="D733" s="8">
        <v>45860</v>
      </c>
      <c r="E733" s="11">
        <v>10000000</v>
      </c>
    </row>
    <row r="734" spans="1:5" x14ac:dyDescent="0.3">
      <c r="A734" s="13" t="s">
        <v>57</v>
      </c>
      <c r="B734" s="4" t="s">
        <v>157</v>
      </c>
      <c r="C734" s="4" t="s">
        <v>257</v>
      </c>
      <c r="D734" s="8">
        <v>45861</v>
      </c>
      <c r="E734" s="11">
        <v>5000000</v>
      </c>
    </row>
    <row r="735" spans="1:5" x14ac:dyDescent="0.3">
      <c r="A735" s="13" t="s">
        <v>65</v>
      </c>
      <c r="B735" s="4" t="s">
        <v>165</v>
      </c>
      <c r="C735" s="4" t="s">
        <v>265</v>
      </c>
      <c r="D735" s="8">
        <v>45861</v>
      </c>
      <c r="E735" s="11">
        <v>1000000</v>
      </c>
    </row>
    <row r="736" spans="1:5" x14ac:dyDescent="0.3">
      <c r="A736" s="13" t="s">
        <v>74</v>
      </c>
      <c r="B736" s="4" t="s">
        <v>174</v>
      </c>
      <c r="C736" s="4" t="s">
        <v>274</v>
      </c>
      <c r="D736" s="8">
        <v>45861</v>
      </c>
      <c r="E736" s="11">
        <v>7000000</v>
      </c>
    </row>
    <row r="737" spans="1:5" x14ac:dyDescent="0.3">
      <c r="A737" s="13" t="s">
        <v>71</v>
      </c>
      <c r="B737" s="4" t="s">
        <v>171</v>
      </c>
      <c r="C737" s="4" t="s">
        <v>271</v>
      </c>
      <c r="D737" s="8">
        <v>45861</v>
      </c>
      <c r="E737" s="11">
        <v>50000</v>
      </c>
    </row>
    <row r="738" spans="1:5" x14ac:dyDescent="0.3">
      <c r="A738" s="13" t="s">
        <v>57</v>
      </c>
      <c r="B738" s="4" t="s">
        <v>157</v>
      </c>
      <c r="C738" s="4" t="s">
        <v>257</v>
      </c>
      <c r="D738" s="8">
        <v>45861</v>
      </c>
      <c r="E738" s="11">
        <v>7000000</v>
      </c>
    </row>
    <row r="739" spans="1:5" x14ac:dyDescent="0.3">
      <c r="A739" s="13" t="s">
        <v>33</v>
      </c>
      <c r="B739" s="4" t="s">
        <v>133</v>
      </c>
      <c r="C739" s="4" t="s">
        <v>233</v>
      </c>
      <c r="D739" s="8">
        <v>45861</v>
      </c>
      <c r="E739" s="11">
        <v>2000000</v>
      </c>
    </row>
    <row r="740" spans="1:5" x14ac:dyDescent="0.3">
      <c r="A740" s="13" t="s">
        <v>56</v>
      </c>
      <c r="B740" s="4" t="s">
        <v>156</v>
      </c>
      <c r="C740" s="4" t="s">
        <v>256</v>
      </c>
      <c r="D740" s="8">
        <v>45862</v>
      </c>
      <c r="E740" s="11">
        <v>250000</v>
      </c>
    </row>
    <row r="741" spans="1:5" x14ac:dyDescent="0.3">
      <c r="A741" s="13" t="s">
        <v>30</v>
      </c>
      <c r="B741" s="4" t="s">
        <v>130</v>
      </c>
      <c r="C741" s="4" t="s">
        <v>230</v>
      </c>
      <c r="D741" s="8">
        <v>45862</v>
      </c>
      <c r="E741" s="11">
        <v>20000000</v>
      </c>
    </row>
    <row r="742" spans="1:5" x14ac:dyDescent="0.3">
      <c r="A742" s="13" t="s">
        <v>34</v>
      </c>
      <c r="B742" s="4" t="s">
        <v>134</v>
      </c>
      <c r="C742" s="4" t="s">
        <v>234</v>
      </c>
      <c r="D742" s="8">
        <v>45862</v>
      </c>
      <c r="E742" s="11">
        <v>2000000</v>
      </c>
    </row>
    <row r="743" spans="1:5" x14ac:dyDescent="0.3">
      <c r="A743" s="13" t="s">
        <v>62</v>
      </c>
      <c r="B743" s="4" t="s">
        <v>162</v>
      </c>
      <c r="C743" s="4" t="s">
        <v>262</v>
      </c>
      <c r="D743" s="8">
        <v>45862</v>
      </c>
      <c r="E743" s="11">
        <v>5000000</v>
      </c>
    </row>
    <row r="744" spans="1:5" x14ac:dyDescent="0.3">
      <c r="A744" s="13" t="s">
        <v>42</v>
      </c>
      <c r="B744" s="4" t="s">
        <v>142</v>
      </c>
      <c r="C744" s="4" t="s">
        <v>242</v>
      </c>
      <c r="D744" s="8">
        <v>45863</v>
      </c>
      <c r="E744" s="11">
        <v>20000000</v>
      </c>
    </row>
    <row r="745" spans="1:5" x14ac:dyDescent="0.3">
      <c r="A745" s="13" t="s">
        <v>82</v>
      </c>
      <c r="B745" s="4" t="s">
        <v>182</v>
      </c>
      <c r="C745" s="4" t="s">
        <v>282</v>
      </c>
      <c r="D745" s="8">
        <v>45863</v>
      </c>
      <c r="E745" s="11">
        <v>7000000</v>
      </c>
    </row>
    <row r="746" spans="1:5" x14ac:dyDescent="0.3">
      <c r="A746" s="13" t="s">
        <v>17</v>
      </c>
      <c r="B746" s="4" t="s">
        <v>117</v>
      </c>
      <c r="C746" s="4" t="s">
        <v>217</v>
      </c>
      <c r="D746" s="8">
        <v>45863</v>
      </c>
      <c r="E746" s="11">
        <v>50000</v>
      </c>
    </row>
    <row r="747" spans="1:5" x14ac:dyDescent="0.3">
      <c r="A747" s="13" t="s">
        <v>16</v>
      </c>
      <c r="B747" s="4" t="s">
        <v>116</v>
      </c>
      <c r="C747" s="4" t="s">
        <v>216</v>
      </c>
      <c r="D747" s="8">
        <v>45863</v>
      </c>
      <c r="E747" s="11">
        <v>20000000</v>
      </c>
    </row>
    <row r="748" spans="1:5" x14ac:dyDescent="0.3">
      <c r="A748" s="13" t="s">
        <v>68</v>
      </c>
      <c r="B748" s="4" t="s">
        <v>168</v>
      </c>
      <c r="C748" s="4" t="s">
        <v>268</v>
      </c>
      <c r="D748" s="8">
        <v>45863</v>
      </c>
      <c r="E748" s="11">
        <v>3000000</v>
      </c>
    </row>
    <row r="749" spans="1:5" x14ac:dyDescent="0.3">
      <c r="A749" s="13" t="s">
        <v>17</v>
      </c>
      <c r="B749" s="4" t="s">
        <v>117</v>
      </c>
      <c r="C749" s="4" t="s">
        <v>217</v>
      </c>
      <c r="D749" s="8">
        <v>45863</v>
      </c>
      <c r="E749" s="11">
        <v>1000000</v>
      </c>
    </row>
    <row r="750" spans="1:5" x14ac:dyDescent="0.3">
      <c r="A750" s="13" t="s">
        <v>75</v>
      </c>
      <c r="B750" s="4" t="s">
        <v>175</v>
      </c>
      <c r="C750" s="4" t="s">
        <v>275</v>
      </c>
      <c r="D750" s="8">
        <v>45864</v>
      </c>
      <c r="E750" s="11">
        <v>5000000</v>
      </c>
    </row>
    <row r="751" spans="1:5" x14ac:dyDescent="0.3">
      <c r="A751" s="13" t="s">
        <v>73</v>
      </c>
      <c r="B751" s="4" t="s">
        <v>173</v>
      </c>
      <c r="C751" s="4" t="s">
        <v>273</v>
      </c>
      <c r="D751" s="8">
        <v>45864</v>
      </c>
      <c r="E751" s="11">
        <v>200000</v>
      </c>
    </row>
    <row r="752" spans="1:5" x14ac:dyDescent="0.3">
      <c r="A752" s="13" t="s">
        <v>15</v>
      </c>
      <c r="B752" s="4" t="s">
        <v>115</v>
      </c>
      <c r="C752" s="4" t="s">
        <v>215</v>
      </c>
      <c r="D752" s="8">
        <v>45864</v>
      </c>
      <c r="E752" s="11">
        <v>2000000</v>
      </c>
    </row>
    <row r="753" spans="1:5" x14ac:dyDescent="0.3">
      <c r="A753" s="13" t="s">
        <v>35</v>
      </c>
      <c r="B753" s="4" t="s">
        <v>135</v>
      </c>
      <c r="C753" s="4" t="s">
        <v>235</v>
      </c>
      <c r="D753" s="8">
        <v>45864</v>
      </c>
      <c r="E753" s="11">
        <v>2000000</v>
      </c>
    </row>
    <row r="754" spans="1:5" x14ac:dyDescent="0.3">
      <c r="A754" s="13" t="s">
        <v>60</v>
      </c>
      <c r="B754" s="4" t="s">
        <v>160</v>
      </c>
      <c r="C754" s="4" t="s">
        <v>260</v>
      </c>
      <c r="D754" s="8">
        <v>45865</v>
      </c>
      <c r="E754" s="11">
        <v>50000</v>
      </c>
    </row>
    <row r="755" spans="1:5" x14ac:dyDescent="0.3">
      <c r="A755" s="13" t="s">
        <v>10</v>
      </c>
      <c r="B755" s="4" t="s">
        <v>110</v>
      </c>
      <c r="C755" s="4" t="s">
        <v>210</v>
      </c>
      <c r="D755" s="8">
        <v>45866</v>
      </c>
      <c r="E755" s="11">
        <v>7000000</v>
      </c>
    </row>
    <row r="756" spans="1:5" x14ac:dyDescent="0.3">
      <c r="A756" s="13" t="s">
        <v>37</v>
      </c>
      <c r="B756" s="4" t="s">
        <v>137</v>
      </c>
      <c r="C756" s="4" t="s">
        <v>237</v>
      </c>
      <c r="D756" s="8">
        <v>45867</v>
      </c>
      <c r="E756" s="11">
        <v>200000</v>
      </c>
    </row>
    <row r="757" spans="1:5" x14ac:dyDescent="0.3">
      <c r="A757" s="13" t="s">
        <v>25</v>
      </c>
      <c r="B757" s="4" t="s">
        <v>125</v>
      </c>
      <c r="C757" s="4" t="s">
        <v>225</v>
      </c>
      <c r="D757" s="8">
        <v>45867</v>
      </c>
      <c r="E757" s="11">
        <v>7000000</v>
      </c>
    </row>
    <row r="758" spans="1:5" x14ac:dyDescent="0.3">
      <c r="A758" s="13" t="s">
        <v>14</v>
      </c>
      <c r="B758" s="4" t="s">
        <v>114</v>
      </c>
      <c r="C758" s="4" t="s">
        <v>214</v>
      </c>
      <c r="D758" s="8">
        <v>45867</v>
      </c>
      <c r="E758" s="11">
        <v>20000000</v>
      </c>
    </row>
    <row r="759" spans="1:5" x14ac:dyDescent="0.3">
      <c r="A759" s="13" t="s">
        <v>56</v>
      </c>
      <c r="B759" s="4" t="s">
        <v>156</v>
      </c>
      <c r="C759" s="4" t="s">
        <v>256</v>
      </c>
      <c r="D759" s="8">
        <v>45867</v>
      </c>
      <c r="E759" s="11">
        <v>3000000</v>
      </c>
    </row>
    <row r="760" spans="1:5" x14ac:dyDescent="0.3">
      <c r="A760" s="13" t="s">
        <v>63</v>
      </c>
      <c r="B760" s="4" t="s">
        <v>163</v>
      </c>
      <c r="C760" s="4" t="s">
        <v>263</v>
      </c>
      <c r="D760" s="8">
        <v>45868</v>
      </c>
      <c r="E760" s="11">
        <v>1000000</v>
      </c>
    </row>
    <row r="761" spans="1:5" x14ac:dyDescent="0.3">
      <c r="A761" s="13" t="s">
        <v>94</v>
      </c>
      <c r="B761" s="4" t="s">
        <v>194</v>
      </c>
      <c r="C761" s="4" t="s">
        <v>294</v>
      </c>
      <c r="D761" s="8">
        <v>45868</v>
      </c>
      <c r="E761" s="11">
        <v>10000000</v>
      </c>
    </row>
    <row r="762" spans="1:5" x14ac:dyDescent="0.3">
      <c r="A762" s="13" t="s">
        <v>16</v>
      </c>
      <c r="B762" s="4" t="s">
        <v>116</v>
      </c>
      <c r="C762" s="4" t="s">
        <v>216</v>
      </c>
      <c r="D762" s="8">
        <v>45868</v>
      </c>
      <c r="E762" s="11">
        <v>7000000</v>
      </c>
    </row>
    <row r="763" spans="1:5" x14ac:dyDescent="0.3">
      <c r="A763" s="13" t="s">
        <v>69</v>
      </c>
      <c r="B763" s="4" t="s">
        <v>169</v>
      </c>
      <c r="C763" s="4" t="s">
        <v>269</v>
      </c>
      <c r="D763" s="8">
        <v>45869</v>
      </c>
      <c r="E763" s="11">
        <v>20000000</v>
      </c>
    </row>
    <row r="764" spans="1:5" x14ac:dyDescent="0.3">
      <c r="A764" s="13" t="s">
        <v>34</v>
      </c>
      <c r="B764" s="4" t="s">
        <v>134</v>
      </c>
      <c r="C764" s="4" t="s">
        <v>234</v>
      </c>
      <c r="D764" s="8">
        <v>45869</v>
      </c>
      <c r="E764" s="11">
        <v>100000</v>
      </c>
    </row>
    <row r="765" spans="1:5" x14ac:dyDescent="0.3">
      <c r="A765" s="13" t="s">
        <v>59</v>
      </c>
      <c r="B765" s="4" t="s">
        <v>159</v>
      </c>
      <c r="C765" s="4" t="s">
        <v>259</v>
      </c>
      <c r="D765" s="8">
        <v>45870</v>
      </c>
      <c r="E765" s="11">
        <v>200000</v>
      </c>
    </row>
    <row r="766" spans="1:5" x14ac:dyDescent="0.3">
      <c r="A766" s="13" t="s">
        <v>78</v>
      </c>
      <c r="B766" s="4" t="s">
        <v>178</v>
      </c>
      <c r="C766" s="4" t="s">
        <v>278</v>
      </c>
      <c r="D766" s="8">
        <v>45870</v>
      </c>
      <c r="E766" s="11">
        <v>50000</v>
      </c>
    </row>
    <row r="767" spans="1:5" x14ac:dyDescent="0.3">
      <c r="A767" s="13" t="s">
        <v>29</v>
      </c>
      <c r="B767" s="4" t="s">
        <v>129</v>
      </c>
      <c r="C767" s="4" t="s">
        <v>229</v>
      </c>
      <c r="D767" s="8">
        <v>45870</v>
      </c>
      <c r="E767" s="11">
        <v>5000000</v>
      </c>
    </row>
    <row r="768" spans="1:5" x14ac:dyDescent="0.3">
      <c r="A768" s="13" t="s">
        <v>29</v>
      </c>
      <c r="B768" s="4" t="s">
        <v>129</v>
      </c>
      <c r="C768" s="4" t="s">
        <v>229</v>
      </c>
      <c r="D768" s="8">
        <v>45871</v>
      </c>
      <c r="E768" s="11">
        <v>100000</v>
      </c>
    </row>
    <row r="769" spans="1:5" x14ac:dyDescent="0.3">
      <c r="A769" s="13" t="s">
        <v>37</v>
      </c>
      <c r="B769" s="4" t="s">
        <v>137</v>
      </c>
      <c r="C769" s="4" t="s">
        <v>237</v>
      </c>
      <c r="D769" s="8">
        <v>45871</v>
      </c>
      <c r="E769" s="11">
        <v>3000000</v>
      </c>
    </row>
    <row r="770" spans="1:5" x14ac:dyDescent="0.3">
      <c r="A770" s="13" t="s">
        <v>18</v>
      </c>
      <c r="B770" s="4" t="s">
        <v>118</v>
      </c>
      <c r="C770" s="4" t="s">
        <v>218</v>
      </c>
      <c r="D770" s="8">
        <v>45871</v>
      </c>
      <c r="E770" s="11">
        <v>7000000</v>
      </c>
    </row>
    <row r="771" spans="1:5" x14ac:dyDescent="0.3">
      <c r="A771" s="13" t="s">
        <v>30</v>
      </c>
      <c r="B771" s="4" t="s">
        <v>130</v>
      </c>
      <c r="C771" s="4" t="s">
        <v>230</v>
      </c>
      <c r="D771" s="8">
        <v>45871</v>
      </c>
      <c r="E771" s="11">
        <v>20000000</v>
      </c>
    </row>
    <row r="772" spans="1:5" x14ac:dyDescent="0.3">
      <c r="A772" s="13" t="s">
        <v>26</v>
      </c>
      <c r="B772" s="4" t="s">
        <v>126</v>
      </c>
      <c r="C772" s="4" t="s">
        <v>226</v>
      </c>
      <c r="D772" s="8">
        <v>45871</v>
      </c>
      <c r="E772" s="11">
        <v>200000</v>
      </c>
    </row>
    <row r="773" spans="1:5" x14ac:dyDescent="0.3">
      <c r="A773" s="13" t="s">
        <v>75</v>
      </c>
      <c r="B773" s="4" t="s">
        <v>175</v>
      </c>
      <c r="C773" s="4" t="s">
        <v>275</v>
      </c>
      <c r="D773" s="8">
        <v>45872</v>
      </c>
      <c r="E773" s="11">
        <v>200000</v>
      </c>
    </row>
    <row r="774" spans="1:5" x14ac:dyDescent="0.3">
      <c r="A774" s="13" t="s">
        <v>96</v>
      </c>
      <c r="B774" s="4" t="s">
        <v>196</v>
      </c>
      <c r="C774" s="4" t="s">
        <v>296</v>
      </c>
      <c r="D774" s="8">
        <v>45872</v>
      </c>
      <c r="E774" s="11">
        <v>10000000</v>
      </c>
    </row>
    <row r="775" spans="1:5" x14ac:dyDescent="0.3">
      <c r="A775" s="13" t="s">
        <v>103</v>
      </c>
      <c r="B775" s="4" t="s">
        <v>203</v>
      </c>
      <c r="C775" s="4" t="s">
        <v>303</v>
      </c>
      <c r="D775" s="8">
        <v>45872</v>
      </c>
      <c r="E775" s="11">
        <v>3000000</v>
      </c>
    </row>
    <row r="776" spans="1:5" x14ac:dyDescent="0.3">
      <c r="A776" s="13" t="s">
        <v>56</v>
      </c>
      <c r="B776" s="4" t="s">
        <v>156</v>
      </c>
      <c r="C776" s="4" t="s">
        <v>256</v>
      </c>
      <c r="D776" s="8">
        <v>45872</v>
      </c>
      <c r="E776" s="11">
        <v>200000</v>
      </c>
    </row>
    <row r="777" spans="1:5" x14ac:dyDescent="0.3">
      <c r="A777" s="13" t="s">
        <v>19</v>
      </c>
      <c r="B777" s="4" t="s">
        <v>119</v>
      </c>
      <c r="C777" s="4" t="s">
        <v>219</v>
      </c>
      <c r="D777" s="8">
        <v>45873</v>
      </c>
      <c r="E777" s="11">
        <v>5000000</v>
      </c>
    </row>
    <row r="778" spans="1:5" x14ac:dyDescent="0.3">
      <c r="A778" s="13" t="s">
        <v>47</v>
      </c>
      <c r="B778" s="4" t="s">
        <v>147</v>
      </c>
      <c r="C778" s="4" t="s">
        <v>247</v>
      </c>
      <c r="D778" s="8">
        <v>45873</v>
      </c>
      <c r="E778" s="11">
        <v>20000000</v>
      </c>
    </row>
    <row r="779" spans="1:5" x14ac:dyDescent="0.3">
      <c r="A779" s="13" t="s">
        <v>78</v>
      </c>
      <c r="B779" s="4" t="s">
        <v>178</v>
      </c>
      <c r="C779" s="4" t="s">
        <v>278</v>
      </c>
      <c r="D779" s="8">
        <v>45873</v>
      </c>
      <c r="E779" s="11">
        <v>5000000</v>
      </c>
    </row>
    <row r="780" spans="1:5" x14ac:dyDescent="0.3">
      <c r="A780" s="13" t="s">
        <v>17</v>
      </c>
      <c r="B780" s="4" t="s">
        <v>117</v>
      </c>
      <c r="C780" s="4" t="s">
        <v>217</v>
      </c>
      <c r="D780" s="8">
        <v>45874</v>
      </c>
      <c r="E780" s="11">
        <v>7000000</v>
      </c>
    </row>
    <row r="781" spans="1:5" x14ac:dyDescent="0.3">
      <c r="A781" s="13" t="s">
        <v>6</v>
      </c>
      <c r="B781" s="4" t="s">
        <v>106</v>
      </c>
      <c r="C781" s="4" t="s">
        <v>206</v>
      </c>
      <c r="D781" s="8">
        <v>45874</v>
      </c>
      <c r="E781" s="11">
        <v>200000</v>
      </c>
    </row>
    <row r="782" spans="1:5" x14ac:dyDescent="0.3">
      <c r="A782" s="13" t="s">
        <v>42</v>
      </c>
      <c r="B782" s="4" t="s">
        <v>142</v>
      </c>
      <c r="C782" s="4" t="s">
        <v>242</v>
      </c>
      <c r="D782" s="8">
        <v>45874</v>
      </c>
      <c r="E782" s="11">
        <v>250000</v>
      </c>
    </row>
    <row r="783" spans="1:5" x14ac:dyDescent="0.3">
      <c r="A783" s="13" t="s">
        <v>21</v>
      </c>
      <c r="B783" s="4" t="s">
        <v>121</v>
      </c>
      <c r="C783" s="4" t="s">
        <v>221</v>
      </c>
      <c r="D783" s="8">
        <v>45874</v>
      </c>
      <c r="E783" s="11">
        <v>7000000</v>
      </c>
    </row>
    <row r="784" spans="1:5" x14ac:dyDescent="0.3">
      <c r="A784" s="13" t="s">
        <v>73</v>
      </c>
      <c r="B784" s="4" t="s">
        <v>173</v>
      </c>
      <c r="C784" s="4" t="s">
        <v>273</v>
      </c>
      <c r="D784" s="8">
        <v>45874</v>
      </c>
      <c r="E784" s="11">
        <v>200000</v>
      </c>
    </row>
    <row r="785" spans="1:5" x14ac:dyDescent="0.3">
      <c r="A785" s="13" t="s">
        <v>14</v>
      </c>
      <c r="B785" s="4" t="s">
        <v>114</v>
      </c>
      <c r="C785" s="4" t="s">
        <v>214</v>
      </c>
      <c r="D785" s="8">
        <v>45875</v>
      </c>
      <c r="E785" s="11">
        <v>200000</v>
      </c>
    </row>
    <row r="786" spans="1:5" x14ac:dyDescent="0.3">
      <c r="A786" s="13" t="s">
        <v>32</v>
      </c>
      <c r="B786" s="4" t="s">
        <v>132</v>
      </c>
      <c r="C786" s="4" t="s">
        <v>232</v>
      </c>
      <c r="D786" s="8">
        <v>45875</v>
      </c>
      <c r="E786" s="11">
        <v>2000000</v>
      </c>
    </row>
    <row r="787" spans="1:5" x14ac:dyDescent="0.3">
      <c r="A787" s="13" t="s">
        <v>103</v>
      </c>
      <c r="B787" s="4" t="s">
        <v>203</v>
      </c>
      <c r="C787" s="4" t="s">
        <v>303</v>
      </c>
      <c r="D787" s="8">
        <v>45875</v>
      </c>
      <c r="E787" s="11">
        <v>150000</v>
      </c>
    </row>
    <row r="788" spans="1:5" x14ac:dyDescent="0.3">
      <c r="A788" s="13" t="s">
        <v>75</v>
      </c>
      <c r="B788" s="4" t="s">
        <v>175</v>
      </c>
      <c r="C788" s="4" t="s">
        <v>275</v>
      </c>
      <c r="D788" s="8">
        <v>45875</v>
      </c>
      <c r="E788" s="11">
        <v>100000</v>
      </c>
    </row>
    <row r="789" spans="1:5" x14ac:dyDescent="0.3">
      <c r="A789" s="13" t="s">
        <v>56</v>
      </c>
      <c r="B789" s="4" t="s">
        <v>156</v>
      </c>
      <c r="C789" s="4" t="s">
        <v>256</v>
      </c>
      <c r="D789" s="8">
        <v>45875</v>
      </c>
      <c r="E789" s="11">
        <v>500000</v>
      </c>
    </row>
    <row r="790" spans="1:5" x14ac:dyDescent="0.3">
      <c r="A790" s="13" t="s">
        <v>65</v>
      </c>
      <c r="B790" s="4" t="s">
        <v>165</v>
      </c>
      <c r="C790" s="4" t="s">
        <v>265</v>
      </c>
      <c r="D790" s="8">
        <v>45876</v>
      </c>
      <c r="E790" s="11">
        <v>150000</v>
      </c>
    </row>
    <row r="791" spans="1:5" x14ac:dyDescent="0.3">
      <c r="A791" s="13" t="s">
        <v>84</v>
      </c>
      <c r="B791" s="4" t="s">
        <v>184</v>
      </c>
      <c r="C791" s="4" t="s">
        <v>284</v>
      </c>
      <c r="D791" s="8">
        <v>45876</v>
      </c>
      <c r="E791" s="11">
        <v>7000000</v>
      </c>
    </row>
    <row r="792" spans="1:5" x14ac:dyDescent="0.3">
      <c r="A792" s="13" t="s">
        <v>99</v>
      </c>
      <c r="B792" s="4" t="s">
        <v>199</v>
      </c>
      <c r="C792" s="4" t="s">
        <v>299</v>
      </c>
      <c r="D792" s="8">
        <v>45876</v>
      </c>
      <c r="E792" s="11">
        <v>250000</v>
      </c>
    </row>
    <row r="793" spans="1:5" x14ac:dyDescent="0.3">
      <c r="A793" s="13" t="s">
        <v>30</v>
      </c>
      <c r="B793" s="4" t="s">
        <v>130</v>
      </c>
      <c r="C793" s="4" t="s">
        <v>230</v>
      </c>
      <c r="D793" s="8">
        <v>45876</v>
      </c>
      <c r="E793" s="11">
        <v>3000000</v>
      </c>
    </row>
    <row r="794" spans="1:5" x14ac:dyDescent="0.3">
      <c r="A794" s="13" t="s">
        <v>14</v>
      </c>
      <c r="B794" s="4" t="s">
        <v>114</v>
      </c>
      <c r="C794" s="4" t="s">
        <v>214</v>
      </c>
      <c r="D794" s="8">
        <v>45877</v>
      </c>
      <c r="E794" s="11">
        <v>2000000</v>
      </c>
    </row>
    <row r="795" spans="1:5" x14ac:dyDescent="0.3">
      <c r="A795" s="13" t="s">
        <v>69</v>
      </c>
      <c r="B795" s="4" t="s">
        <v>169</v>
      </c>
      <c r="C795" s="4" t="s">
        <v>269</v>
      </c>
      <c r="D795" s="8">
        <v>45878</v>
      </c>
      <c r="E795" s="11">
        <v>10000000</v>
      </c>
    </row>
    <row r="796" spans="1:5" x14ac:dyDescent="0.3">
      <c r="A796" s="13" t="s">
        <v>93</v>
      </c>
      <c r="B796" s="4" t="s">
        <v>193</v>
      </c>
      <c r="C796" s="4" t="s">
        <v>293</v>
      </c>
      <c r="D796" s="8">
        <v>45878</v>
      </c>
      <c r="E796" s="11">
        <v>3000000</v>
      </c>
    </row>
    <row r="797" spans="1:5" x14ac:dyDescent="0.3">
      <c r="A797" s="13" t="s">
        <v>28</v>
      </c>
      <c r="B797" s="4" t="s">
        <v>128</v>
      </c>
      <c r="C797" s="4" t="s">
        <v>228</v>
      </c>
      <c r="D797" s="8">
        <v>45878</v>
      </c>
      <c r="E797" s="11">
        <v>150000</v>
      </c>
    </row>
    <row r="798" spans="1:5" x14ac:dyDescent="0.3">
      <c r="A798" s="13" t="s">
        <v>92</v>
      </c>
      <c r="B798" s="4" t="s">
        <v>192</v>
      </c>
      <c r="C798" s="4" t="s">
        <v>292</v>
      </c>
      <c r="D798" s="8">
        <v>45879</v>
      </c>
      <c r="E798" s="11">
        <v>50000</v>
      </c>
    </row>
    <row r="799" spans="1:5" x14ac:dyDescent="0.3">
      <c r="A799" s="13" t="s">
        <v>95</v>
      </c>
      <c r="B799" s="4" t="s">
        <v>195</v>
      </c>
      <c r="C799" s="4" t="s">
        <v>295</v>
      </c>
      <c r="D799" s="8">
        <v>45879</v>
      </c>
      <c r="E799" s="11">
        <v>1000000</v>
      </c>
    </row>
    <row r="800" spans="1:5" x14ac:dyDescent="0.3">
      <c r="A800" s="13" t="s">
        <v>57</v>
      </c>
      <c r="B800" s="4" t="s">
        <v>157</v>
      </c>
      <c r="C800" s="4" t="s">
        <v>257</v>
      </c>
      <c r="D800" s="8">
        <v>45879</v>
      </c>
      <c r="E800" s="11">
        <v>50000</v>
      </c>
    </row>
    <row r="801" spans="1:5" x14ac:dyDescent="0.3">
      <c r="A801" s="13" t="s">
        <v>19</v>
      </c>
      <c r="B801" s="4" t="s">
        <v>119</v>
      </c>
      <c r="C801" s="4" t="s">
        <v>219</v>
      </c>
      <c r="D801" s="8">
        <v>45880</v>
      </c>
      <c r="E801" s="11">
        <v>5000000</v>
      </c>
    </row>
    <row r="802" spans="1:5" x14ac:dyDescent="0.3">
      <c r="A802" s="13" t="s">
        <v>91</v>
      </c>
      <c r="B802" s="4" t="s">
        <v>191</v>
      </c>
      <c r="C802" s="4" t="s">
        <v>291</v>
      </c>
      <c r="D802" s="8">
        <v>45880</v>
      </c>
      <c r="E802" s="11">
        <v>50000</v>
      </c>
    </row>
    <row r="803" spans="1:5" x14ac:dyDescent="0.3">
      <c r="A803" s="13" t="s">
        <v>86</v>
      </c>
      <c r="B803" s="4" t="s">
        <v>186</v>
      </c>
      <c r="C803" s="4" t="s">
        <v>286</v>
      </c>
      <c r="D803" s="8">
        <v>45880</v>
      </c>
      <c r="E803" s="11">
        <v>50000</v>
      </c>
    </row>
    <row r="804" spans="1:5" x14ac:dyDescent="0.3">
      <c r="A804" s="13" t="s">
        <v>14</v>
      </c>
      <c r="B804" s="4" t="s">
        <v>114</v>
      </c>
      <c r="C804" s="4" t="s">
        <v>214</v>
      </c>
      <c r="D804" s="8">
        <v>45880</v>
      </c>
      <c r="E804" s="11">
        <v>3000000</v>
      </c>
    </row>
    <row r="805" spans="1:5" x14ac:dyDescent="0.3">
      <c r="A805" s="13" t="s">
        <v>103</v>
      </c>
      <c r="B805" s="4" t="s">
        <v>203</v>
      </c>
      <c r="C805" s="4" t="s">
        <v>303</v>
      </c>
      <c r="D805" s="8">
        <v>45880</v>
      </c>
      <c r="E805" s="11">
        <v>50000</v>
      </c>
    </row>
    <row r="806" spans="1:5" x14ac:dyDescent="0.3">
      <c r="A806" s="13" t="s">
        <v>5</v>
      </c>
      <c r="B806" s="4" t="s">
        <v>105</v>
      </c>
      <c r="C806" s="4" t="s">
        <v>205</v>
      </c>
      <c r="D806" s="8">
        <v>45881</v>
      </c>
      <c r="E806" s="11">
        <v>200000</v>
      </c>
    </row>
    <row r="807" spans="1:5" x14ac:dyDescent="0.3">
      <c r="A807" s="13" t="s">
        <v>10</v>
      </c>
      <c r="B807" s="4" t="s">
        <v>110</v>
      </c>
      <c r="C807" s="4" t="s">
        <v>210</v>
      </c>
      <c r="D807" s="8">
        <v>45881</v>
      </c>
      <c r="E807" s="11">
        <v>50000</v>
      </c>
    </row>
    <row r="808" spans="1:5" x14ac:dyDescent="0.3">
      <c r="A808" s="13" t="s">
        <v>50</v>
      </c>
      <c r="B808" s="4" t="s">
        <v>150</v>
      </c>
      <c r="C808" s="4" t="s">
        <v>250</v>
      </c>
      <c r="D808" s="8">
        <v>45881</v>
      </c>
      <c r="E808" s="11">
        <v>250000</v>
      </c>
    </row>
    <row r="809" spans="1:5" x14ac:dyDescent="0.3">
      <c r="A809" s="13" t="s">
        <v>23</v>
      </c>
      <c r="B809" s="4" t="s">
        <v>123</v>
      </c>
      <c r="C809" s="4" t="s">
        <v>223</v>
      </c>
      <c r="D809" s="8">
        <v>45881</v>
      </c>
      <c r="E809" s="11">
        <v>20000000</v>
      </c>
    </row>
    <row r="810" spans="1:5" x14ac:dyDescent="0.3">
      <c r="A810" s="13" t="s">
        <v>27</v>
      </c>
      <c r="B810" s="4" t="s">
        <v>127</v>
      </c>
      <c r="C810" s="4" t="s">
        <v>227</v>
      </c>
      <c r="D810" s="8">
        <v>45881</v>
      </c>
      <c r="E810" s="11">
        <v>10000000</v>
      </c>
    </row>
    <row r="811" spans="1:5" x14ac:dyDescent="0.3">
      <c r="A811" s="13" t="s">
        <v>15</v>
      </c>
      <c r="B811" s="4" t="s">
        <v>115</v>
      </c>
      <c r="C811" s="4" t="s">
        <v>215</v>
      </c>
      <c r="D811" s="8">
        <v>45882</v>
      </c>
      <c r="E811" s="11">
        <v>5000000</v>
      </c>
    </row>
    <row r="812" spans="1:5" x14ac:dyDescent="0.3">
      <c r="A812" s="13" t="s">
        <v>48</v>
      </c>
      <c r="B812" s="4" t="s">
        <v>148</v>
      </c>
      <c r="C812" s="4" t="s">
        <v>248</v>
      </c>
      <c r="D812" s="8">
        <v>45882</v>
      </c>
      <c r="E812" s="11">
        <v>3000000</v>
      </c>
    </row>
    <row r="813" spans="1:5" x14ac:dyDescent="0.3">
      <c r="A813" s="13" t="s">
        <v>11</v>
      </c>
      <c r="B813" s="4" t="s">
        <v>111</v>
      </c>
      <c r="C813" s="4" t="s">
        <v>211</v>
      </c>
      <c r="D813" s="8">
        <v>45882</v>
      </c>
      <c r="E813" s="11">
        <v>500000</v>
      </c>
    </row>
    <row r="814" spans="1:5" x14ac:dyDescent="0.3">
      <c r="A814" s="13" t="s">
        <v>52</v>
      </c>
      <c r="B814" s="4" t="s">
        <v>152</v>
      </c>
      <c r="C814" s="4" t="s">
        <v>252</v>
      </c>
      <c r="D814" s="8">
        <v>45882</v>
      </c>
      <c r="E814" s="11">
        <v>1000000</v>
      </c>
    </row>
    <row r="815" spans="1:5" x14ac:dyDescent="0.3">
      <c r="A815" s="13" t="s">
        <v>63</v>
      </c>
      <c r="B815" s="4" t="s">
        <v>163</v>
      </c>
      <c r="C815" s="4" t="s">
        <v>263</v>
      </c>
      <c r="D815" s="8">
        <v>45883</v>
      </c>
      <c r="E815" s="11">
        <v>3000000</v>
      </c>
    </row>
    <row r="816" spans="1:5" x14ac:dyDescent="0.3">
      <c r="A816" s="13" t="s">
        <v>32</v>
      </c>
      <c r="B816" s="4" t="s">
        <v>132</v>
      </c>
      <c r="C816" s="4" t="s">
        <v>232</v>
      </c>
      <c r="D816" s="8">
        <v>45883</v>
      </c>
      <c r="E816" s="11">
        <v>200000</v>
      </c>
    </row>
    <row r="817" spans="1:5" x14ac:dyDescent="0.3">
      <c r="A817" s="13" t="s">
        <v>92</v>
      </c>
      <c r="B817" s="4" t="s">
        <v>192</v>
      </c>
      <c r="C817" s="4" t="s">
        <v>292</v>
      </c>
      <c r="D817" s="8">
        <v>45883</v>
      </c>
      <c r="E817" s="11">
        <v>20000000</v>
      </c>
    </row>
    <row r="818" spans="1:5" x14ac:dyDescent="0.3">
      <c r="A818" s="13" t="s">
        <v>40</v>
      </c>
      <c r="B818" s="4" t="s">
        <v>140</v>
      </c>
      <c r="C818" s="4" t="s">
        <v>240</v>
      </c>
      <c r="D818" s="8">
        <v>45883</v>
      </c>
      <c r="E818" s="11">
        <v>50000</v>
      </c>
    </row>
    <row r="819" spans="1:5" x14ac:dyDescent="0.3">
      <c r="A819" s="13" t="s">
        <v>52</v>
      </c>
      <c r="B819" s="4" t="s">
        <v>152</v>
      </c>
      <c r="C819" s="4" t="s">
        <v>252</v>
      </c>
      <c r="D819" s="8">
        <v>45884</v>
      </c>
      <c r="E819" s="11">
        <v>5000000</v>
      </c>
    </row>
    <row r="820" spans="1:5" x14ac:dyDescent="0.3">
      <c r="A820" s="13" t="s">
        <v>41</v>
      </c>
      <c r="B820" s="4" t="s">
        <v>141</v>
      </c>
      <c r="C820" s="4" t="s">
        <v>241</v>
      </c>
      <c r="D820" s="8">
        <v>45884</v>
      </c>
      <c r="E820" s="11">
        <v>500000</v>
      </c>
    </row>
    <row r="821" spans="1:5" x14ac:dyDescent="0.3">
      <c r="A821" s="13" t="s">
        <v>18</v>
      </c>
      <c r="B821" s="4" t="s">
        <v>118</v>
      </c>
      <c r="C821" s="4" t="s">
        <v>218</v>
      </c>
      <c r="D821" s="8">
        <v>45884</v>
      </c>
      <c r="E821" s="11">
        <v>7000000</v>
      </c>
    </row>
    <row r="822" spans="1:5" x14ac:dyDescent="0.3">
      <c r="A822" s="13" t="s">
        <v>47</v>
      </c>
      <c r="B822" s="4" t="s">
        <v>147</v>
      </c>
      <c r="C822" s="4" t="s">
        <v>247</v>
      </c>
      <c r="D822" s="8">
        <v>45885</v>
      </c>
      <c r="E822" s="11">
        <v>500000</v>
      </c>
    </row>
    <row r="823" spans="1:5" x14ac:dyDescent="0.3">
      <c r="A823" s="13" t="s">
        <v>16</v>
      </c>
      <c r="B823" s="4" t="s">
        <v>116</v>
      </c>
      <c r="C823" s="4" t="s">
        <v>216</v>
      </c>
      <c r="D823" s="8">
        <v>45885</v>
      </c>
      <c r="E823" s="11">
        <v>200000</v>
      </c>
    </row>
    <row r="824" spans="1:5" x14ac:dyDescent="0.3">
      <c r="A824" s="13" t="s">
        <v>73</v>
      </c>
      <c r="B824" s="4" t="s">
        <v>173</v>
      </c>
      <c r="C824" s="4" t="s">
        <v>273</v>
      </c>
      <c r="D824" s="8">
        <v>45885</v>
      </c>
      <c r="E824" s="11">
        <v>150000</v>
      </c>
    </row>
    <row r="825" spans="1:5" x14ac:dyDescent="0.3">
      <c r="A825" s="13" t="s">
        <v>93</v>
      </c>
      <c r="B825" s="4" t="s">
        <v>193</v>
      </c>
      <c r="C825" s="4" t="s">
        <v>293</v>
      </c>
      <c r="D825" s="8">
        <v>45885</v>
      </c>
      <c r="E825" s="11">
        <v>1000000</v>
      </c>
    </row>
    <row r="826" spans="1:5" x14ac:dyDescent="0.3">
      <c r="A826" s="13" t="s">
        <v>31</v>
      </c>
      <c r="B826" s="4" t="s">
        <v>131</v>
      </c>
      <c r="C826" s="4" t="s">
        <v>231</v>
      </c>
      <c r="D826" s="8">
        <v>45885</v>
      </c>
      <c r="E826" s="11">
        <v>2000000</v>
      </c>
    </row>
    <row r="827" spans="1:5" x14ac:dyDescent="0.3">
      <c r="A827" s="13" t="s">
        <v>78</v>
      </c>
      <c r="B827" s="4" t="s">
        <v>178</v>
      </c>
      <c r="C827" s="4" t="s">
        <v>278</v>
      </c>
      <c r="D827" s="8">
        <v>45885</v>
      </c>
      <c r="E827" s="11">
        <v>250000</v>
      </c>
    </row>
    <row r="828" spans="1:5" x14ac:dyDescent="0.3">
      <c r="A828" s="13" t="s">
        <v>103</v>
      </c>
      <c r="B828" s="4" t="s">
        <v>203</v>
      </c>
      <c r="C828" s="4" t="s">
        <v>303</v>
      </c>
      <c r="D828" s="8">
        <v>45885</v>
      </c>
      <c r="E828" s="11">
        <v>20000000</v>
      </c>
    </row>
    <row r="829" spans="1:5" x14ac:dyDescent="0.3">
      <c r="A829" s="13" t="s">
        <v>56</v>
      </c>
      <c r="B829" s="4" t="s">
        <v>156</v>
      </c>
      <c r="C829" s="4" t="s">
        <v>256</v>
      </c>
      <c r="D829" s="8">
        <v>45885</v>
      </c>
      <c r="E829" s="11">
        <v>250000</v>
      </c>
    </row>
    <row r="830" spans="1:5" x14ac:dyDescent="0.3">
      <c r="A830" s="13" t="s">
        <v>90</v>
      </c>
      <c r="B830" s="4" t="s">
        <v>190</v>
      </c>
      <c r="C830" s="4" t="s">
        <v>290</v>
      </c>
      <c r="D830" s="8">
        <v>45885</v>
      </c>
      <c r="E830" s="11">
        <v>5000000</v>
      </c>
    </row>
    <row r="831" spans="1:5" x14ac:dyDescent="0.3">
      <c r="A831" s="13" t="s">
        <v>103</v>
      </c>
      <c r="B831" s="4" t="s">
        <v>203</v>
      </c>
      <c r="C831" s="4" t="s">
        <v>303</v>
      </c>
      <c r="D831" s="8">
        <v>45886</v>
      </c>
      <c r="E831" s="11">
        <v>5000000</v>
      </c>
    </row>
    <row r="832" spans="1:5" x14ac:dyDescent="0.3">
      <c r="A832" s="13" t="s">
        <v>79</v>
      </c>
      <c r="B832" s="4" t="s">
        <v>179</v>
      </c>
      <c r="C832" s="4" t="s">
        <v>279</v>
      </c>
      <c r="D832" s="8">
        <v>45886</v>
      </c>
      <c r="E832" s="11">
        <v>5000000</v>
      </c>
    </row>
    <row r="833" spans="1:5" x14ac:dyDescent="0.3">
      <c r="A833" s="13" t="s">
        <v>35</v>
      </c>
      <c r="B833" s="4" t="s">
        <v>135</v>
      </c>
      <c r="C833" s="4" t="s">
        <v>235</v>
      </c>
      <c r="D833" s="8">
        <v>45886</v>
      </c>
      <c r="E833" s="11">
        <v>150000</v>
      </c>
    </row>
    <row r="834" spans="1:5" x14ac:dyDescent="0.3">
      <c r="A834" s="13" t="s">
        <v>79</v>
      </c>
      <c r="B834" s="4" t="s">
        <v>179</v>
      </c>
      <c r="C834" s="4" t="s">
        <v>279</v>
      </c>
      <c r="D834" s="8">
        <v>45886</v>
      </c>
      <c r="E834" s="11">
        <v>7000000</v>
      </c>
    </row>
    <row r="835" spans="1:5" x14ac:dyDescent="0.3">
      <c r="A835" s="13" t="s">
        <v>25</v>
      </c>
      <c r="B835" s="4" t="s">
        <v>125</v>
      </c>
      <c r="C835" s="4" t="s">
        <v>225</v>
      </c>
      <c r="D835" s="8">
        <v>45887</v>
      </c>
      <c r="E835" s="11">
        <v>10000000</v>
      </c>
    </row>
    <row r="836" spans="1:5" x14ac:dyDescent="0.3">
      <c r="A836" s="13" t="s">
        <v>73</v>
      </c>
      <c r="B836" s="4" t="s">
        <v>173</v>
      </c>
      <c r="C836" s="4" t="s">
        <v>273</v>
      </c>
      <c r="D836" s="8">
        <v>45887</v>
      </c>
      <c r="E836" s="11">
        <v>3000000</v>
      </c>
    </row>
    <row r="837" spans="1:5" x14ac:dyDescent="0.3">
      <c r="A837" s="13" t="s">
        <v>5</v>
      </c>
      <c r="B837" s="4" t="s">
        <v>105</v>
      </c>
      <c r="C837" s="4" t="s">
        <v>205</v>
      </c>
      <c r="D837" s="8">
        <v>45887</v>
      </c>
      <c r="E837" s="11">
        <v>20000000</v>
      </c>
    </row>
    <row r="838" spans="1:5" x14ac:dyDescent="0.3">
      <c r="A838" s="13" t="s">
        <v>72</v>
      </c>
      <c r="B838" s="4" t="s">
        <v>172</v>
      </c>
      <c r="C838" s="4" t="s">
        <v>272</v>
      </c>
      <c r="D838" s="8">
        <v>45888</v>
      </c>
      <c r="E838" s="11">
        <v>50000</v>
      </c>
    </row>
    <row r="839" spans="1:5" x14ac:dyDescent="0.3">
      <c r="A839" s="13" t="s">
        <v>64</v>
      </c>
      <c r="B839" s="4" t="s">
        <v>164</v>
      </c>
      <c r="C839" s="4" t="s">
        <v>264</v>
      </c>
      <c r="D839" s="8">
        <v>45888</v>
      </c>
      <c r="E839" s="11">
        <v>10000000</v>
      </c>
    </row>
    <row r="840" spans="1:5" x14ac:dyDescent="0.3">
      <c r="A840" s="13" t="s">
        <v>13</v>
      </c>
      <c r="B840" s="4" t="s">
        <v>113</v>
      </c>
      <c r="C840" s="4" t="s">
        <v>213</v>
      </c>
      <c r="D840" s="8">
        <v>45889</v>
      </c>
      <c r="E840" s="11">
        <v>5000000</v>
      </c>
    </row>
    <row r="841" spans="1:5" x14ac:dyDescent="0.3">
      <c r="A841" s="13" t="s">
        <v>89</v>
      </c>
      <c r="B841" s="4" t="s">
        <v>189</v>
      </c>
      <c r="C841" s="4" t="s">
        <v>289</v>
      </c>
      <c r="D841" s="8">
        <v>45889</v>
      </c>
      <c r="E841" s="11">
        <v>50000</v>
      </c>
    </row>
    <row r="842" spans="1:5" x14ac:dyDescent="0.3">
      <c r="A842" s="13" t="s">
        <v>55</v>
      </c>
      <c r="B842" s="4" t="s">
        <v>155</v>
      </c>
      <c r="C842" s="4" t="s">
        <v>255</v>
      </c>
      <c r="D842" s="8">
        <v>45889</v>
      </c>
      <c r="E842" s="11">
        <v>150000</v>
      </c>
    </row>
    <row r="843" spans="1:5" x14ac:dyDescent="0.3">
      <c r="A843" s="13" t="s">
        <v>6</v>
      </c>
      <c r="B843" s="4" t="s">
        <v>106</v>
      </c>
      <c r="C843" s="4" t="s">
        <v>206</v>
      </c>
      <c r="D843" s="8">
        <v>45889</v>
      </c>
      <c r="E843" s="11">
        <v>50000</v>
      </c>
    </row>
    <row r="844" spans="1:5" x14ac:dyDescent="0.3">
      <c r="A844" s="13" t="s">
        <v>77</v>
      </c>
      <c r="B844" s="4" t="s">
        <v>177</v>
      </c>
      <c r="C844" s="4" t="s">
        <v>277</v>
      </c>
      <c r="D844" s="8">
        <v>45889</v>
      </c>
      <c r="E844" s="11">
        <v>20000000</v>
      </c>
    </row>
    <row r="845" spans="1:5" x14ac:dyDescent="0.3">
      <c r="A845" s="13" t="s">
        <v>34</v>
      </c>
      <c r="B845" s="4" t="s">
        <v>134</v>
      </c>
      <c r="C845" s="4" t="s">
        <v>234</v>
      </c>
      <c r="D845" s="8">
        <v>45889</v>
      </c>
      <c r="E845" s="11">
        <v>50000</v>
      </c>
    </row>
    <row r="846" spans="1:5" x14ac:dyDescent="0.3">
      <c r="A846" s="13" t="s">
        <v>11</v>
      </c>
      <c r="B846" s="4" t="s">
        <v>111</v>
      </c>
      <c r="C846" s="4" t="s">
        <v>211</v>
      </c>
      <c r="D846" s="8">
        <v>45889</v>
      </c>
      <c r="E846" s="11">
        <v>7000000</v>
      </c>
    </row>
    <row r="847" spans="1:5" x14ac:dyDescent="0.3">
      <c r="A847" s="13" t="s">
        <v>93</v>
      </c>
      <c r="B847" s="4" t="s">
        <v>193</v>
      </c>
      <c r="C847" s="4" t="s">
        <v>293</v>
      </c>
      <c r="D847" s="8">
        <v>45890</v>
      </c>
      <c r="E847" s="11">
        <v>5000000</v>
      </c>
    </row>
    <row r="848" spans="1:5" x14ac:dyDescent="0.3">
      <c r="A848" s="13" t="s">
        <v>81</v>
      </c>
      <c r="B848" s="4" t="s">
        <v>181</v>
      </c>
      <c r="C848" s="4" t="s">
        <v>281</v>
      </c>
      <c r="D848" s="8">
        <v>45891</v>
      </c>
      <c r="E848" s="11">
        <v>7000000</v>
      </c>
    </row>
    <row r="849" spans="1:5" x14ac:dyDescent="0.3">
      <c r="A849" s="13" t="s">
        <v>35</v>
      </c>
      <c r="B849" s="4" t="s">
        <v>135</v>
      </c>
      <c r="C849" s="4" t="s">
        <v>235</v>
      </c>
      <c r="D849" s="8">
        <v>45891</v>
      </c>
      <c r="E849" s="11">
        <v>20000000</v>
      </c>
    </row>
    <row r="850" spans="1:5" x14ac:dyDescent="0.3">
      <c r="A850" s="13" t="s">
        <v>48</v>
      </c>
      <c r="B850" s="4" t="s">
        <v>148</v>
      </c>
      <c r="C850" s="4" t="s">
        <v>248</v>
      </c>
      <c r="D850" s="8">
        <v>45892</v>
      </c>
      <c r="E850" s="11">
        <v>7000000</v>
      </c>
    </row>
    <row r="851" spans="1:5" x14ac:dyDescent="0.3">
      <c r="A851" s="13" t="s">
        <v>71</v>
      </c>
      <c r="B851" s="4" t="s">
        <v>171</v>
      </c>
      <c r="C851" s="4" t="s">
        <v>271</v>
      </c>
      <c r="D851" s="8">
        <v>45892</v>
      </c>
      <c r="E851" s="11">
        <v>3000000</v>
      </c>
    </row>
    <row r="852" spans="1:5" x14ac:dyDescent="0.3">
      <c r="A852" s="13" t="s">
        <v>22</v>
      </c>
      <c r="B852" s="4" t="s">
        <v>122</v>
      </c>
      <c r="C852" s="4" t="s">
        <v>222</v>
      </c>
      <c r="D852" s="8">
        <v>45892</v>
      </c>
      <c r="E852" s="11">
        <v>250000</v>
      </c>
    </row>
    <row r="853" spans="1:5" x14ac:dyDescent="0.3">
      <c r="A853" s="13" t="s">
        <v>83</v>
      </c>
      <c r="B853" s="4" t="s">
        <v>183</v>
      </c>
      <c r="C853" s="4" t="s">
        <v>283</v>
      </c>
      <c r="D853" s="8">
        <v>45892</v>
      </c>
      <c r="E853" s="11">
        <v>20000000</v>
      </c>
    </row>
    <row r="854" spans="1:5" x14ac:dyDescent="0.3">
      <c r="A854" s="13" t="s">
        <v>55</v>
      </c>
      <c r="B854" s="4" t="s">
        <v>155</v>
      </c>
      <c r="C854" s="4" t="s">
        <v>255</v>
      </c>
      <c r="D854" s="8">
        <v>45893</v>
      </c>
      <c r="E854" s="11">
        <v>200000</v>
      </c>
    </row>
    <row r="855" spans="1:5" x14ac:dyDescent="0.3">
      <c r="A855" s="13" t="s">
        <v>82</v>
      </c>
      <c r="B855" s="4" t="s">
        <v>182</v>
      </c>
      <c r="C855" s="4" t="s">
        <v>282</v>
      </c>
      <c r="D855" s="8">
        <v>45893</v>
      </c>
      <c r="E855" s="11">
        <v>20000000</v>
      </c>
    </row>
    <row r="856" spans="1:5" x14ac:dyDescent="0.3">
      <c r="A856" s="13" t="s">
        <v>33</v>
      </c>
      <c r="B856" s="4" t="s">
        <v>133</v>
      </c>
      <c r="C856" s="4" t="s">
        <v>233</v>
      </c>
      <c r="D856" s="8">
        <v>45893</v>
      </c>
      <c r="E856" s="11">
        <v>20000000</v>
      </c>
    </row>
    <row r="857" spans="1:5" x14ac:dyDescent="0.3">
      <c r="A857" s="13" t="s">
        <v>78</v>
      </c>
      <c r="B857" s="4" t="s">
        <v>178</v>
      </c>
      <c r="C857" s="4" t="s">
        <v>278</v>
      </c>
      <c r="D857" s="8">
        <v>45893</v>
      </c>
      <c r="E857" s="11">
        <v>100000</v>
      </c>
    </row>
    <row r="858" spans="1:5" x14ac:dyDescent="0.3">
      <c r="A858" s="13" t="s">
        <v>12</v>
      </c>
      <c r="B858" s="4" t="s">
        <v>112</v>
      </c>
      <c r="C858" s="4" t="s">
        <v>212</v>
      </c>
      <c r="D858" s="8">
        <v>45894</v>
      </c>
      <c r="E858" s="11">
        <v>250000</v>
      </c>
    </row>
    <row r="859" spans="1:5" x14ac:dyDescent="0.3">
      <c r="A859" s="13" t="s">
        <v>57</v>
      </c>
      <c r="B859" s="4" t="s">
        <v>157</v>
      </c>
      <c r="C859" s="4" t="s">
        <v>257</v>
      </c>
      <c r="D859" s="8">
        <v>45894</v>
      </c>
      <c r="E859" s="11">
        <v>3000000</v>
      </c>
    </row>
    <row r="860" spans="1:5" x14ac:dyDescent="0.3">
      <c r="A860" s="13" t="s">
        <v>90</v>
      </c>
      <c r="B860" s="4" t="s">
        <v>190</v>
      </c>
      <c r="C860" s="4" t="s">
        <v>290</v>
      </c>
      <c r="D860" s="8">
        <v>45894</v>
      </c>
      <c r="E860" s="11">
        <v>20000000</v>
      </c>
    </row>
    <row r="861" spans="1:5" x14ac:dyDescent="0.3">
      <c r="A861" s="13" t="s">
        <v>75</v>
      </c>
      <c r="B861" s="4" t="s">
        <v>175</v>
      </c>
      <c r="C861" s="4" t="s">
        <v>275</v>
      </c>
      <c r="D861" s="8">
        <v>45894</v>
      </c>
      <c r="E861" s="11">
        <v>100000</v>
      </c>
    </row>
    <row r="862" spans="1:5" x14ac:dyDescent="0.3">
      <c r="A862" s="13" t="s">
        <v>50</v>
      </c>
      <c r="B862" s="4" t="s">
        <v>150</v>
      </c>
      <c r="C862" s="4" t="s">
        <v>250</v>
      </c>
      <c r="D862" s="8">
        <v>45895</v>
      </c>
      <c r="E862" s="11">
        <v>20000000</v>
      </c>
    </row>
    <row r="863" spans="1:5" x14ac:dyDescent="0.3">
      <c r="A863" s="13" t="s">
        <v>15</v>
      </c>
      <c r="B863" s="4" t="s">
        <v>115</v>
      </c>
      <c r="C863" s="4" t="s">
        <v>215</v>
      </c>
      <c r="D863" s="8">
        <v>45895</v>
      </c>
      <c r="E863" s="11">
        <v>100000</v>
      </c>
    </row>
    <row r="864" spans="1:5" x14ac:dyDescent="0.3">
      <c r="A864" s="13" t="s">
        <v>29</v>
      </c>
      <c r="B864" s="4" t="s">
        <v>129</v>
      </c>
      <c r="C864" s="4" t="s">
        <v>229</v>
      </c>
      <c r="D864" s="8">
        <v>45895</v>
      </c>
      <c r="E864" s="11">
        <v>50000</v>
      </c>
    </row>
    <row r="865" spans="1:5" x14ac:dyDescent="0.3">
      <c r="A865" s="13" t="s">
        <v>59</v>
      </c>
      <c r="B865" s="4" t="s">
        <v>159</v>
      </c>
      <c r="C865" s="4" t="s">
        <v>259</v>
      </c>
      <c r="D865" s="8">
        <v>45896</v>
      </c>
      <c r="E865" s="11">
        <v>50000</v>
      </c>
    </row>
    <row r="866" spans="1:5" x14ac:dyDescent="0.3">
      <c r="A866" s="13" t="s">
        <v>90</v>
      </c>
      <c r="B866" s="4" t="s">
        <v>190</v>
      </c>
      <c r="C866" s="4" t="s">
        <v>290</v>
      </c>
      <c r="D866" s="8">
        <v>45896</v>
      </c>
      <c r="E866" s="11">
        <v>50000</v>
      </c>
    </row>
    <row r="867" spans="1:5" x14ac:dyDescent="0.3">
      <c r="A867" s="13" t="s">
        <v>98</v>
      </c>
      <c r="B867" s="4" t="s">
        <v>198</v>
      </c>
      <c r="C867" s="4" t="s">
        <v>298</v>
      </c>
      <c r="D867" s="8">
        <v>45896</v>
      </c>
      <c r="E867" s="11">
        <v>150000</v>
      </c>
    </row>
    <row r="868" spans="1:5" x14ac:dyDescent="0.3">
      <c r="A868" s="13" t="s">
        <v>58</v>
      </c>
      <c r="B868" s="4" t="s">
        <v>158</v>
      </c>
      <c r="C868" s="4" t="s">
        <v>258</v>
      </c>
      <c r="D868" s="8">
        <v>45897</v>
      </c>
      <c r="E868" s="11">
        <v>50000</v>
      </c>
    </row>
    <row r="869" spans="1:5" x14ac:dyDescent="0.3">
      <c r="A869" s="13" t="s">
        <v>26</v>
      </c>
      <c r="B869" s="4" t="s">
        <v>126</v>
      </c>
      <c r="C869" s="4" t="s">
        <v>226</v>
      </c>
      <c r="D869" s="8">
        <v>45897</v>
      </c>
      <c r="E869" s="11">
        <v>20000000</v>
      </c>
    </row>
    <row r="870" spans="1:5" x14ac:dyDescent="0.3">
      <c r="A870" s="13" t="s">
        <v>94</v>
      </c>
      <c r="B870" s="4" t="s">
        <v>194</v>
      </c>
      <c r="C870" s="4" t="s">
        <v>294</v>
      </c>
      <c r="D870" s="8">
        <v>45897</v>
      </c>
      <c r="E870" s="11">
        <v>5000000</v>
      </c>
    </row>
    <row r="871" spans="1:5" x14ac:dyDescent="0.3">
      <c r="A871" s="13" t="s">
        <v>15</v>
      </c>
      <c r="B871" s="4" t="s">
        <v>115</v>
      </c>
      <c r="C871" s="4" t="s">
        <v>215</v>
      </c>
      <c r="D871" s="8">
        <v>45897</v>
      </c>
      <c r="E871" s="11">
        <v>10000000</v>
      </c>
    </row>
    <row r="872" spans="1:5" x14ac:dyDescent="0.3">
      <c r="A872" s="13" t="s">
        <v>23</v>
      </c>
      <c r="B872" s="4" t="s">
        <v>123</v>
      </c>
      <c r="C872" s="4" t="s">
        <v>223</v>
      </c>
      <c r="D872" s="8">
        <v>45897</v>
      </c>
      <c r="E872" s="11">
        <v>100000</v>
      </c>
    </row>
    <row r="873" spans="1:5" x14ac:dyDescent="0.3">
      <c r="A873" s="13" t="s">
        <v>31</v>
      </c>
      <c r="B873" s="4" t="s">
        <v>131</v>
      </c>
      <c r="C873" s="4" t="s">
        <v>231</v>
      </c>
      <c r="D873" s="8">
        <v>45898</v>
      </c>
      <c r="E873" s="11">
        <v>10000000</v>
      </c>
    </row>
    <row r="874" spans="1:5" x14ac:dyDescent="0.3">
      <c r="A874" s="13" t="s">
        <v>69</v>
      </c>
      <c r="B874" s="4" t="s">
        <v>169</v>
      </c>
      <c r="C874" s="4" t="s">
        <v>269</v>
      </c>
      <c r="D874" s="8">
        <v>45898</v>
      </c>
      <c r="E874" s="11">
        <v>3000000</v>
      </c>
    </row>
    <row r="875" spans="1:5" x14ac:dyDescent="0.3">
      <c r="A875" s="13" t="s">
        <v>65</v>
      </c>
      <c r="B875" s="4" t="s">
        <v>165</v>
      </c>
      <c r="C875" s="4" t="s">
        <v>265</v>
      </c>
      <c r="D875" s="8">
        <v>45898</v>
      </c>
      <c r="E875" s="11">
        <v>20000000</v>
      </c>
    </row>
    <row r="876" spans="1:5" x14ac:dyDescent="0.3">
      <c r="A876" s="13" t="s">
        <v>104</v>
      </c>
      <c r="B876" s="4" t="s">
        <v>204</v>
      </c>
      <c r="C876" s="4" t="s">
        <v>304</v>
      </c>
      <c r="D876" s="8">
        <v>45898</v>
      </c>
      <c r="E876" s="11">
        <v>3000000</v>
      </c>
    </row>
    <row r="877" spans="1:5" x14ac:dyDescent="0.3">
      <c r="A877" s="13" t="s">
        <v>79</v>
      </c>
      <c r="B877" s="4" t="s">
        <v>179</v>
      </c>
      <c r="C877" s="4" t="s">
        <v>279</v>
      </c>
      <c r="D877" s="8">
        <v>45898</v>
      </c>
      <c r="E877" s="11">
        <v>3000000</v>
      </c>
    </row>
    <row r="878" spans="1:5" x14ac:dyDescent="0.3">
      <c r="A878" s="13" t="s">
        <v>31</v>
      </c>
      <c r="B878" s="4" t="s">
        <v>131</v>
      </c>
      <c r="C878" s="4" t="s">
        <v>231</v>
      </c>
      <c r="D878" s="8">
        <v>45899</v>
      </c>
      <c r="E878" s="11">
        <v>1000000</v>
      </c>
    </row>
    <row r="879" spans="1:5" x14ac:dyDescent="0.3">
      <c r="A879" s="13" t="s">
        <v>67</v>
      </c>
      <c r="B879" s="4" t="s">
        <v>167</v>
      </c>
      <c r="C879" s="4" t="s">
        <v>267</v>
      </c>
      <c r="D879" s="8">
        <v>45899</v>
      </c>
      <c r="E879" s="11">
        <v>250000</v>
      </c>
    </row>
    <row r="880" spans="1:5" x14ac:dyDescent="0.3">
      <c r="A880" s="13" t="s">
        <v>57</v>
      </c>
      <c r="B880" s="4" t="s">
        <v>157</v>
      </c>
      <c r="C880" s="4" t="s">
        <v>257</v>
      </c>
      <c r="D880" s="8">
        <v>45899</v>
      </c>
      <c r="E880" s="11">
        <v>5000000</v>
      </c>
    </row>
    <row r="881" spans="1:5" x14ac:dyDescent="0.3">
      <c r="A881" s="13" t="s">
        <v>31</v>
      </c>
      <c r="B881" s="4" t="s">
        <v>131</v>
      </c>
      <c r="C881" s="4" t="s">
        <v>231</v>
      </c>
      <c r="D881" s="8">
        <v>45899</v>
      </c>
      <c r="E881" s="11">
        <v>20000000</v>
      </c>
    </row>
    <row r="882" spans="1:5" x14ac:dyDescent="0.3">
      <c r="A882" s="13" t="s">
        <v>28</v>
      </c>
      <c r="B882" s="4" t="s">
        <v>128</v>
      </c>
      <c r="C882" s="4" t="s">
        <v>228</v>
      </c>
      <c r="D882" s="8">
        <v>45900</v>
      </c>
      <c r="E882" s="11">
        <v>3000000</v>
      </c>
    </row>
    <row r="883" spans="1:5" x14ac:dyDescent="0.3">
      <c r="A883" s="13" t="s">
        <v>19</v>
      </c>
      <c r="B883" s="4" t="s">
        <v>119</v>
      </c>
      <c r="C883" s="4" t="s">
        <v>219</v>
      </c>
      <c r="D883" s="8">
        <v>45900</v>
      </c>
      <c r="E883" s="11">
        <v>100000</v>
      </c>
    </row>
    <row r="884" spans="1:5" x14ac:dyDescent="0.3">
      <c r="A884" s="13" t="s">
        <v>27</v>
      </c>
      <c r="B884" s="4" t="s">
        <v>127</v>
      </c>
      <c r="C884" s="4" t="s">
        <v>227</v>
      </c>
      <c r="D884" s="8">
        <v>45901</v>
      </c>
      <c r="E884" s="11">
        <v>7000000</v>
      </c>
    </row>
    <row r="885" spans="1:5" x14ac:dyDescent="0.3">
      <c r="A885" s="13" t="s">
        <v>83</v>
      </c>
      <c r="B885" s="4" t="s">
        <v>183</v>
      </c>
      <c r="C885" s="4" t="s">
        <v>283</v>
      </c>
      <c r="D885" s="8">
        <v>45901</v>
      </c>
      <c r="E885" s="11">
        <v>10000000</v>
      </c>
    </row>
    <row r="886" spans="1:5" x14ac:dyDescent="0.3">
      <c r="A886" s="13" t="s">
        <v>50</v>
      </c>
      <c r="B886" s="4" t="s">
        <v>150</v>
      </c>
      <c r="C886" s="4" t="s">
        <v>250</v>
      </c>
      <c r="D886" s="8">
        <v>45901</v>
      </c>
      <c r="E886" s="11">
        <v>150000</v>
      </c>
    </row>
    <row r="887" spans="1:5" x14ac:dyDescent="0.3">
      <c r="A887" s="13" t="s">
        <v>97</v>
      </c>
      <c r="B887" s="4" t="s">
        <v>197</v>
      </c>
      <c r="C887" s="4" t="s">
        <v>297</v>
      </c>
      <c r="D887" s="8">
        <v>45902</v>
      </c>
      <c r="E887" s="11">
        <v>500000</v>
      </c>
    </row>
    <row r="888" spans="1:5" x14ac:dyDescent="0.3">
      <c r="A888" s="13" t="s">
        <v>80</v>
      </c>
      <c r="B888" s="4" t="s">
        <v>180</v>
      </c>
      <c r="C888" s="4" t="s">
        <v>280</v>
      </c>
      <c r="D888" s="8">
        <v>45902</v>
      </c>
      <c r="E888" s="11">
        <v>50000</v>
      </c>
    </row>
    <row r="889" spans="1:5" x14ac:dyDescent="0.3">
      <c r="A889" s="13" t="s">
        <v>15</v>
      </c>
      <c r="B889" s="4" t="s">
        <v>115</v>
      </c>
      <c r="C889" s="4" t="s">
        <v>215</v>
      </c>
      <c r="D889" s="8">
        <v>45903</v>
      </c>
      <c r="E889" s="11">
        <v>100000</v>
      </c>
    </row>
    <row r="890" spans="1:5" x14ac:dyDescent="0.3">
      <c r="A890" s="13" t="s">
        <v>24</v>
      </c>
      <c r="B890" s="4" t="s">
        <v>124</v>
      </c>
      <c r="C890" s="4" t="s">
        <v>224</v>
      </c>
      <c r="D890" s="8">
        <v>45903</v>
      </c>
      <c r="E890" s="11">
        <v>5000000</v>
      </c>
    </row>
    <row r="891" spans="1:5" x14ac:dyDescent="0.3">
      <c r="A891" s="13" t="s">
        <v>14</v>
      </c>
      <c r="B891" s="4" t="s">
        <v>114</v>
      </c>
      <c r="C891" s="4" t="s">
        <v>214</v>
      </c>
      <c r="D891" s="8">
        <v>45904</v>
      </c>
      <c r="E891" s="11">
        <v>250000</v>
      </c>
    </row>
    <row r="892" spans="1:5" x14ac:dyDescent="0.3">
      <c r="A892" s="13" t="s">
        <v>85</v>
      </c>
      <c r="B892" s="4" t="s">
        <v>185</v>
      </c>
      <c r="C892" s="4" t="s">
        <v>285</v>
      </c>
      <c r="D892" s="8">
        <v>45904</v>
      </c>
      <c r="E892" s="11">
        <v>5000000</v>
      </c>
    </row>
    <row r="893" spans="1:5" x14ac:dyDescent="0.3">
      <c r="A893" s="13" t="s">
        <v>9</v>
      </c>
      <c r="B893" s="4" t="s">
        <v>109</v>
      </c>
      <c r="C893" s="4" t="s">
        <v>209</v>
      </c>
      <c r="D893" s="8">
        <v>45904</v>
      </c>
      <c r="E893" s="11">
        <v>10000000</v>
      </c>
    </row>
    <row r="894" spans="1:5" x14ac:dyDescent="0.3">
      <c r="A894" s="13" t="s">
        <v>30</v>
      </c>
      <c r="B894" s="4" t="s">
        <v>130</v>
      </c>
      <c r="C894" s="4" t="s">
        <v>230</v>
      </c>
      <c r="D894" s="8">
        <v>45905</v>
      </c>
      <c r="E894" s="11">
        <v>200000</v>
      </c>
    </row>
    <row r="895" spans="1:5" x14ac:dyDescent="0.3">
      <c r="A895" s="13" t="s">
        <v>15</v>
      </c>
      <c r="B895" s="4" t="s">
        <v>115</v>
      </c>
      <c r="C895" s="4" t="s">
        <v>215</v>
      </c>
      <c r="D895" s="8">
        <v>45905</v>
      </c>
      <c r="E895" s="11">
        <v>10000000</v>
      </c>
    </row>
    <row r="896" spans="1:5" x14ac:dyDescent="0.3">
      <c r="A896" s="13" t="s">
        <v>34</v>
      </c>
      <c r="B896" s="4" t="s">
        <v>134</v>
      </c>
      <c r="C896" s="4" t="s">
        <v>234</v>
      </c>
      <c r="D896" s="8">
        <v>45905</v>
      </c>
      <c r="E896" s="11">
        <v>150000</v>
      </c>
    </row>
    <row r="897" spans="1:5" x14ac:dyDescent="0.3">
      <c r="A897" s="13" t="s">
        <v>84</v>
      </c>
      <c r="B897" s="4" t="s">
        <v>184</v>
      </c>
      <c r="C897" s="4" t="s">
        <v>284</v>
      </c>
      <c r="D897" s="8">
        <v>45906</v>
      </c>
      <c r="E897" s="11">
        <v>3000000</v>
      </c>
    </row>
    <row r="898" spans="1:5" x14ac:dyDescent="0.3">
      <c r="A898" s="13" t="s">
        <v>20</v>
      </c>
      <c r="B898" s="4" t="s">
        <v>120</v>
      </c>
      <c r="C898" s="4" t="s">
        <v>220</v>
      </c>
      <c r="D898" s="8">
        <v>45906</v>
      </c>
      <c r="E898" s="11">
        <v>150000</v>
      </c>
    </row>
    <row r="899" spans="1:5" x14ac:dyDescent="0.3">
      <c r="A899" s="13" t="s">
        <v>35</v>
      </c>
      <c r="B899" s="4" t="s">
        <v>135</v>
      </c>
      <c r="C899" s="4" t="s">
        <v>235</v>
      </c>
      <c r="D899" s="8">
        <v>45906</v>
      </c>
      <c r="E899" s="11">
        <v>50000</v>
      </c>
    </row>
    <row r="900" spans="1:5" x14ac:dyDescent="0.3">
      <c r="A900" s="13" t="s">
        <v>92</v>
      </c>
      <c r="B900" s="4" t="s">
        <v>192</v>
      </c>
      <c r="C900" s="4" t="s">
        <v>292</v>
      </c>
      <c r="D900" s="8">
        <v>45907</v>
      </c>
      <c r="E900" s="11">
        <v>50000</v>
      </c>
    </row>
    <row r="901" spans="1:5" x14ac:dyDescent="0.3">
      <c r="A901" s="13" t="s">
        <v>72</v>
      </c>
      <c r="B901" s="4" t="s">
        <v>172</v>
      </c>
      <c r="C901" s="4" t="s">
        <v>272</v>
      </c>
      <c r="D901" s="8">
        <v>45907</v>
      </c>
      <c r="E901" s="11">
        <v>500000</v>
      </c>
    </row>
    <row r="902" spans="1:5" x14ac:dyDescent="0.3">
      <c r="A902" s="13" t="s">
        <v>80</v>
      </c>
      <c r="B902" s="4" t="s">
        <v>180</v>
      </c>
      <c r="C902" s="4" t="s">
        <v>280</v>
      </c>
      <c r="D902" s="8">
        <v>45908</v>
      </c>
      <c r="E902" s="11">
        <v>500000</v>
      </c>
    </row>
    <row r="903" spans="1:5" x14ac:dyDescent="0.3">
      <c r="A903" s="13" t="s">
        <v>41</v>
      </c>
      <c r="B903" s="4" t="s">
        <v>141</v>
      </c>
      <c r="C903" s="4" t="s">
        <v>241</v>
      </c>
      <c r="D903" s="8">
        <v>45909</v>
      </c>
      <c r="E903" s="11">
        <v>1000000</v>
      </c>
    </row>
    <row r="904" spans="1:5" x14ac:dyDescent="0.3">
      <c r="A904" s="13" t="s">
        <v>15</v>
      </c>
      <c r="B904" s="4" t="s">
        <v>115</v>
      </c>
      <c r="C904" s="4" t="s">
        <v>215</v>
      </c>
      <c r="D904" s="8">
        <v>45909</v>
      </c>
      <c r="E904" s="11">
        <v>20000000</v>
      </c>
    </row>
    <row r="905" spans="1:5" x14ac:dyDescent="0.3">
      <c r="A905" s="13" t="s">
        <v>11</v>
      </c>
      <c r="B905" s="4" t="s">
        <v>111</v>
      </c>
      <c r="C905" s="4" t="s">
        <v>211</v>
      </c>
      <c r="D905" s="8">
        <v>45910</v>
      </c>
      <c r="E905" s="11">
        <v>150000</v>
      </c>
    </row>
    <row r="906" spans="1:5" x14ac:dyDescent="0.3">
      <c r="A906" s="13" t="s">
        <v>86</v>
      </c>
      <c r="B906" s="4" t="s">
        <v>186</v>
      </c>
      <c r="C906" s="4" t="s">
        <v>286</v>
      </c>
      <c r="D906" s="8">
        <v>45910</v>
      </c>
      <c r="E906" s="11">
        <v>150000</v>
      </c>
    </row>
    <row r="907" spans="1:5" x14ac:dyDescent="0.3">
      <c r="A907" s="13" t="s">
        <v>98</v>
      </c>
      <c r="B907" s="4" t="s">
        <v>198</v>
      </c>
      <c r="C907" s="4" t="s">
        <v>298</v>
      </c>
      <c r="D907" s="8">
        <v>45910</v>
      </c>
      <c r="E907" s="11">
        <v>250000</v>
      </c>
    </row>
    <row r="908" spans="1:5" x14ac:dyDescent="0.3">
      <c r="A908" s="13" t="s">
        <v>32</v>
      </c>
      <c r="B908" s="4" t="s">
        <v>132</v>
      </c>
      <c r="C908" s="4" t="s">
        <v>232</v>
      </c>
      <c r="D908" s="8">
        <v>45910</v>
      </c>
      <c r="E908" s="11">
        <v>250000</v>
      </c>
    </row>
    <row r="909" spans="1:5" x14ac:dyDescent="0.3">
      <c r="A909" s="13" t="s">
        <v>44</v>
      </c>
      <c r="B909" s="4" t="s">
        <v>144</v>
      </c>
      <c r="C909" s="4" t="s">
        <v>244</v>
      </c>
      <c r="D909" s="8">
        <v>45910</v>
      </c>
      <c r="E909" s="11">
        <v>20000000</v>
      </c>
    </row>
    <row r="910" spans="1:5" x14ac:dyDescent="0.3">
      <c r="A910" s="13" t="s">
        <v>92</v>
      </c>
      <c r="B910" s="4" t="s">
        <v>192</v>
      </c>
      <c r="C910" s="4" t="s">
        <v>292</v>
      </c>
      <c r="D910" s="8">
        <v>45910</v>
      </c>
      <c r="E910" s="11">
        <v>7000000</v>
      </c>
    </row>
    <row r="911" spans="1:5" x14ac:dyDescent="0.3">
      <c r="A911" s="13" t="s">
        <v>92</v>
      </c>
      <c r="B911" s="4" t="s">
        <v>192</v>
      </c>
      <c r="C911" s="4" t="s">
        <v>292</v>
      </c>
      <c r="D911" s="8">
        <v>45911</v>
      </c>
      <c r="E911" s="11">
        <v>1000000</v>
      </c>
    </row>
    <row r="912" spans="1:5" x14ac:dyDescent="0.3">
      <c r="A912" s="13" t="s">
        <v>87</v>
      </c>
      <c r="B912" s="4" t="s">
        <v>187</v>
      </c>
      <c r="C912" s="4" t="s">
        <v>287</v>
      </c>
      <c r="D912" s="8">
        <v>45911</v>
      </c>
      <c r="E912" s="11">
        <v>200000</v>
      </c>
    </row>
    <row r="913" spans="1:5" x14ac:dyDescent="0.3">
      <c r="A913" s="13" t="s">
        <v>33</v>
      </c>
      <c r="B913" s="4" t="s">
        <v>133</v>
      </c>
      <c r="C913" s="4" t="s">
        <v>233</v>
      </c>
      <c r="D913" s="8">
        <v>45911</v>
      </c>
      <c r="E913" s="11">
        <v>1000000</v>
      </c>
    </row>
    <row r="914" spans="1:5" x14ac:dyDescent="0.3">
      <c r="A914" s="13" t="s">
        <v>55</v>
      </c>
      <c r="B914" s="4" t="s">
        <v>155</v>
      </c>
      <c r="C914" s="4" t="s">
        <v>255</v>
      </c>
      <c r="D914" s="8">
        <v>45911</v>
      </c>
      <c r="E914" s="11">
        <v>1000000</v>
      </c>
    </row>
    <row r="915" spans="1:5" x14ac:dyDescent="0.3">
      <c r="A915" s="13" t="s">
        <v>99</v>
      </c>
      <c r="B915" s="4" t="s">
        <v>199</v>
      </c>
      <c r="C915" s="4" t="s">
        <v>299</v>
      </c>
      <c r="D915" s="8">
        <v>45911</v>
      </c>
      <c r="E915" s="11">
        <v>150000</v>
      </c>
    </row>
    <row r="916" spans="1:5" x14ac:dyDescent="0.3">
      <c r="A916" s="13" t="s">
        <v>42</v>
      </c>
      <c r="B916" s="4" t="s">
        <v>142</v>
      </c>
      <c r="C916" s="4" t="s">
        <v>242</v>
      </c>
      <c r="D916" s="8">
        <v>45911</v>
      </c>
      <c r="E916" s="11">
        <v>100000</v>
      </c>
    </row>
    <row r="917" spans="1:5" x14ac:dyDescent="0.3">
      <c r="A917" s="13" t="s">
        <v>37</v>
      </c>
      <c r="B917" s="4" t="s">
        <v>137</v>
      </c>
      <c r="C917" s="4" t="s">
        <v>237</v>
      </c>
      <c r="D917" s="8">
        <v>45912</v>
      </c>
      <c r="E917" s="11">
        <v>5000000</v>
      </c>
    </row>
    <row r="918" spans="1:5" x14ac:dyDescent="0.3">
      <c r="A918" s="13" t="s">
        <v>34</v>
      </c>
      <c r="B918" s="4" t="s">
        <v>134</v>
      </c>
      <c r="C918" s="4" t="s">
        <v>234</v>
      </c>
      <c r="D918" s="8">
        <v>45912</v>
      </c>
      <c r="E918" s="11">
        <v>250000</v>
      </c>
    </row>
    <row r="919" spans="1:5" x14ac:dyDescent="0.3">
      <c r="A919" s="13" t="s">
        <v>95</v>
      </c>
      <c r="B919" s="4" t="s">
        <v>195</v>
      </c>
      <c r="C919" s="4" t="s">
        <v>295</v>
      </c>
      <c r="D919" s="8">
        <v>45912</v>
      </c>
      <c r="E919" s="11">
        <v>200000</v>
      </c>
    </row>
    <row r="920" spans="1:5" x14ac:dyDescent="0.3">
      <c r="A920" s="13" t="s">
        <v>58</v>
      </c>
      <c r="B920" s="4" t="s">
        <v>158</v>
      </c>
      <c r="C920" s="4" t="s">
        <v>258</v>
      </c>
      <c r="D920" s="8">
        <v>45912</v>
      </c>
      <c r="E920" s="11">
        <v>10000000</v>
      </c>
    </row>
    <row r="921" spans="1:5" x14ac:dyDescent="0.3">
      <c r="A921" s="13" t="s">
        <v>17</v>
      </c>
      <c r="B921" s="4" t="s">
        <v>117</v>
      </c>
      <c r="C921" s="4" t="s">
        <v>217</v>
      </c>
      <c r="D921" s="8">
        <v>45912</v>
      </c>
      <c r="E921" s="11">
        <v>5000000</v>
      </c>
    </row>
    <row r="922" spans="1:5" x14ac:dyDescent="0.3">
      <c r="A922" s="13" t="s">
        <v>25</v>
      </c>
      <c r="B922" s="4" t="s">
        <v>125</v>
      </c>
      <c r="C922" s="4" t="s">
        <v>225</v>
      </c>
      <c r="D922" s="8">
        <v>45913</v>
      </c>
      <c r="E922" s="11">
        <v>50000</v>
      </c>
    </row>
    <row r="923" spans="1:5" x14ac:dyDescent="0.3">
      <c r="A923" s="13" t="s">
        <v>23</v>
      </c>
      <c r="B923" s="4" t="s">
        <v>123</v>
      </c>
      <c r="C923" s="4" t="s">
        <v>223</v>
      </c>
      <c r="D923" s="8">
        <v>45913</v>
      </c>
      <c r="E923" s="11">
        <v>7000000</v>
      </c>
    </row>
    <row r="924" spans="1:5" x14ac:dyDescent="0.3">
      <c r="A924" s="13" t="s">
        <v>22</v>
      </c>
      <c r="B924" s="4" t="s">
        <v>122</v>
      </c>
      <c r="C924" s="4" t="s">
        <v>222</v>
      </c>
      <c r="D924" s="8">
        <v>45913</v>
      </c>
      <c r="E924" s="11">
        <v>3000000</v>
      </c>
    </row>
    <row r="925" spans="1:5" x14ac:dyDescent="0.3">
      <c r="A925" s="13" t="s">
        <v>40</v>
      </c>
      <c r="B925" s="4" t="s">
        <v>140</v>
      </c>
      <c r="C925" s="4" t="s">
        <v>240</v>
      </c>
      <c r="D925" s="8">
        <v>45914</v>
      </c>
      <c r="E925" s="11">
        <v>5000000</v>
      </c>
    </row>
    <row r="926" spans="1:5" x14ac:dyDescent="0.3">
      <c r="A926" s="13" t="s">
        <v>71</v>
      </c>
      <c r="B926" s="4" t="s">
        <v>171</v>
      </c>
      <c r="C926" s="4" t="s">
        <v>271</v>
      </c>
      <c r="D926" s="8">
        <v>45914</v>
      </c>
      <c r="E926" s="11">
        <v>7000000</v>
      </c>
    </row>
    <row r="927" spans="1:5" x14ac:dyDescent="0.3">
      <c r="A927" s="13" t="s">
        <v>99</v>
      </c>
      <c r="B927" s="4" t="s">
        <v>199</v>
      </c>
      <c r="C927" s="4" t="s">
        <v>299</v>
      </c>
      <c r="D927" s="8">
        <v>45914</v>
      </c>
      <c r="E927" s="11">
        <v>7000000</v>
      </c>
    </row>
    <row r="928" spans="1:5" x14ac:dyDescent="0.3">
      <c r="A928" s="13" t="s">
        <v>43</v>
      </c>
      <c r="B928" s="4" t="s">
        <v>143</v>
      </c>
      <c r="C928" s="4" t="s">
        <v>243</v>
      </c>
      <c r="D928" s="8">
        <v>45914</v>
      </c>
      <c r="E928" s="11">
        <v>1000000</v>
      </c>
    </row>
    <row r="929" spans="1:5" x14ac:dyDescent="0.3">
      <c r="A929" s="13" t="s">
        <v>30</v>
      </c>
      <c r="B929" s="4" t="s">
        <v>130</v>
      </c>
      <c r="C929" s="4" t="s">
        <v>230</v>
      </c>
      <c r="D929" s="8">
        <v>45915</v>
      </c>
      <c r="E929" s="11">
        <v>10000000</v>
      </c>
    </row>
    <row r="930" spans="1:5" x14ac:dyDescent="0.3">
      <c r="A930" s="13" t="s">
        <v>45</v>
      </c>
      <c r="B930" s="4" t="s">
        <v>145</v>
      </c>
      <c r="C930" s="4" t="s">
        <v>245</v>
      </c>
      <c r="D930" s="8">
        <v>45915</v>
      </c>
      <c r="E930" s="11">
        <v>100000</v>
      </c>
    </row>
    <row r="931" spans="1:5" x14ac:dyDescent="0.3">
      <c r="A931" s="13" t="s">
        <v>51</v>
      </c>
      <c r="B931" s="4" t="s">
        <v>151</v>
      </c>
      <c r="C931" s="4" t="s">
        <v>251</v>
      </c>
      <c r="D931" s="8">
        <v>45915</v>
      </c>
      <c r="E931" s="11">
        <v>1000000</v>
      </c>
    </row>
    <row r="932" spans="1:5" x14ac:dyDescent="0.3">
      <c r="A932" s="13" t="s">
        <v>85</v>
      </c>
      <c r="B932" s="4" t="s">
        <v>185</v>
      </c>
      <c r="C932" s="4" t="s">
        <v>285</v>
      </c>
      <c r="D932" s="8">
        <v>45915</v>
      </c>
      <c r="E932" s="11">
        <v>5000000</v>
      </c>
    </row>
    <row r="933" spans="1:5" x14ac:dyDescent="0.3">
      <c r="A933" s="13" t="s">
        <v>31</v>
      </c>
      <c r="B933" s="4" t="s">
        <v>131</v>
      </c>
      <c r="C933" s="4" t="s">
        <v>231</v>
      </c>
      <c r="D933" s="8">
        <v>45915</v>
      </c>
      <c r="E933" s="11">
        <v>3000000</v>
      </c>
    </row>
    <row r="934" spans="1:5" x14ac:dyDescent="0.3">
      <c r="A934" s="13" t="s">
        <v>46</v>
      </c>
      <c r="B934" s="4" t="s">
        <v>146</v>
      </c>
      <c r="C934" s="4" t="s">
        <v>246</v>
      </c>
      <c r="D934" s="8">
        <v>45915</v>
      </c>
      <c r="E934" s="11">
        <v>2000000</v>
      </c>
    </row>
    <row r="935" spans="1:5" x14ac:dyDescent="0.3">
      <c r="A935" s="13" t="s">
        <v>63</v>
      </c>
      <c r="B935" s="4" t="s">
        <v>163</v>
      </c>
      <c r="C935" s="4" t="s">
        <v>263</v>
      </c>
      <c r="D935" s="8">
        <v>45916</v>
      </c>
      <c r="E935" s="11">
        <v>1000000</v>
      </c>
    </row>
    <row r="936" spans="1:5" x14ac:dyDescent="0.3">
      <c r="A936" s="13" t="s">
        <v>99</v>
      </c>
      <c r="B936" s="4" t="s">
        <v>199</v>
      </c>
      <c r="C936" s="4" t="s">
        <v>299</v>
      </c>
      <c r="D936" s="8">
        <v>45916</v>
      </c>
      <c r="E936" s="11">
        <v>5000000</v>
      </c>
    </row>
    <row r="937" spans="1:5" x14ac:dyDescent="0.3">
      <c r="A937" s="13" t="s">
        <v>14</v>
      </c>
      <c r="B937" s="4" t="s">
        <v>114</v>
      </c>
      <c r="C937" s="4" t="s">
        <v>214</v>
      </c>
      <c r="D937" s="8">
        <v>45916</v>
      </c>
      <c r="E937" s="11">
        <v>20000000</v>
      </c>
    </row>
    <row r="938" spans="1:5" x14ac:dyDescent="0.3">
      <c r="A938" s="13" t="s">
        <v>78</v>
      </c>
      <c r="B938" s="4" t="s">
        <v>178</v>
      </c>
      <c r="C938" s="4" t="s">
        <v>278</v>
      </c>
      <c r="D938" s="8">
        <v>45916</v>
      </c>
      <c r="E938" s="11">
        <v>20000000</v>
      </c>
    </row>
    <row r="939" spans="1:5" x14ac:dyDescent="0.3">
      <c r="A939" s="13" t="s">
        <v>21</v>
      </c>
      <c r="B939" s="4" t="s">
        <v>121</v>
      </c>
      <c r="C939" s="4" t="s">
        <v>221</v>
      </c>
      <c r="D939" s="8">
        <v>45916</v>
      </c>
      <c r="E939" s="11">
        <v>1000000</v>
      </c>
    </row>
    <row r="940" spans="1:5" x14ac:dyDescent="0.3">
      <c r="A940" s="13" t="s">
        <v>45</v>
      </c>
      <c r="B940" s="4" t="s">
        <v>145</v>
      </c>
      <c r="C940" s="4" t="s">
        <v>245</v>
      </c>
      <c r="D940" s="8">
        <v>45917</v>
      </c>
      <c r="E940" s="11">
        <v>3000000</v>
      </c>
    </row>
    <row r="941" spans="1:5" x14ac:dyDescent="0.3">
      <c r="A941" s="13" t="s">
        <v>88</v>
      </c>
      <c r="B941" s="4" t="s">
        <v>188</v>
      </c>
      <c r="C941" s="4" t="s">
        <v>288</v>
      </c>
      <c r="D941" s="8">
        <v>45917</v>
      </c>
      <c r="E941" s="11">
        <v>50000</v>
      </c>
    </row>
    <row r="942" spans="1:5" x14ac:dyDescent="0.3">
      <c r="A942" s="13" t="s">
        <v>12</v>
      </c>
      <c r="B942" s="4" t="s">
        <v>112</v>
      </c>
      <c r="C942" s="4" t="s">
        <v>212</v>
      </c>
      <c r="D942" s="8">
        <v>45918</v>
      </c>
      <c r="E942" s="11">
        <v>1000000</v>
      </c>
    </row>
    <row r="943" spans="1:5" x14ac:dyDescent="0.3">
      <c r="A943" s="13" t="s">
        <v>42</v>
      </c>
      <c r="B943" s="4" t="s">
        <v>142</v>
      </c>
      <c r="C943" s="4" t="s">
        <v>242</v>
      </c>
      <c r="D943" s="8">
        <v>45918</v>
      </c>
      <c r="E943" s="11">
        <v>100000</v>
      </c>
    </row>
    <row r="944" spans="1:5" x14ac:dyDescent="0.3">
      <c r="A944" s="13" t="s">
        <v>9</v>
      </c>
      <c r="B944" s="4" t="s">
        <v>109</v>
      </c>
      <c r="C944" s="4" t="s">
        <v>209</v>
      </c>
      <c r="D944" s="8">
        <v>45919</v>
      </c>
      <c r="E944" s="11">
        <v>100000</v>
      </c>
    </row>
    <row r="945" spans="1:5" x14ac:dyDescent="0.3">
      <c r="A945" s="13" t="s">
        <v>49</v>
      </c>
      <c r="B945" s="4" t="s">
        <v>149</v>
      </c>
      <c r="C945" s="4" t="s">
        <v>249</v>
      </c>
      <c r="D945" s="8">
        <v>45920</v>
      </c>
      <c r="E945" s="11">
        <v>250000</v>
      </c>
    </row>
    <row r="946" spans="1:5" x14ac:dyDescent="0.3">
      <c r="A946" s="13" t="s">
        <v>63</v>
      </c>
      <c r="B946" s="4" t="s">
        <v>163</v>
      </c>
      <c r="C946" s="4" t="s">
        <v>263</v>
      </c>
      <c r="D946" s="8">
        <v>45920</v>
      </c>
      <c r="E946" s="11">
        <v>250000</v>
      </c>
    </row>
    <row r="947" spans="1:5" x14ac:dyDescent="0.3">
      <c r="A947" s="13" t="s">
        <v>43</v>
      </c>
      <c r="B947" s="4" t="s">
        <v>143</v>
      </c>
      <c r="C947" s="4" t="s">
        <v>243</v>
      </c>
      <c r="D947" s="8">
        <v>45920</v>
      </c>
      <c r="E947" s="11">
        <v>2000000</v>
      </c>
    </row>
    <row r="948" spans="1:5" x14ac:dyDescent="0.3">
      <c r="A948" s="13" t="s">
        <v>69</v>
      </c>
      <c r="B948" s="4" t="s">
        <v>169</v>
      </c>
      <c r="C948" s="4" t="s">
        <v>269</v>
      </c>
      <c r="D948" s="8">
        <v>45920</v>
      </c>
      <c r="E948" s="11">
        <v>3000000</v>
      </c>
    </row>
    <row r="949" spans="1:5" x14ac:dyDescent="0.3">
      <c r="A949" s="13" t="s">
        <v>41</v>
      </c>
      <c r="B949" s="4" t="s">
        <v>141</v>
      </c>
      <c r="C949" s="4" t="s">
        <v>241</v>
      </c>
      <c r="D949" s="8">
        <v>45921</v>
      </c>
      <c r="E949" s="11">
        <v>50000</v>
      </c>
    </row>
    <row r="950" spans="1:5" x14ac:dyDescent="0.3">
      <c r="A950" s="13" t="s">
        <v>64</v>
      </c>
      <c r="B950" s="4" t="s">
        <v>164</v>
      </c>
      <c r="C950" s="4" t="s">
        <v>264</v>
      </c>
      <c r="D950" s="8">
        <v>45921</v>
      </c>
      <c r="E950" s="11">
        <v>2000000</v>
      </c>
    </row>
    <row r="951" spans="1:5" x14ac:dyDescent="0.3">
      <c r="A951" s="13" t="s">
        <v>66</v>
      </c>
      <c r="B951" s="4" t="s">
        <v>166</v>
      </c>
      <c r="C951" s="4" t="s">
        <v>266</v>
      </c>
      <c r="D951" s="8">
        <v>45921</v>
      </c>
      <c r="E951" s="11">
        <v>150000</v>
      </c>
    </row>
    <row r="952" spans="1:5" x14ac:dyDescent="0.3">
      <c r="A952" s="13" t="s">
        <v>58</v>
      </c>
      <c r="B952" s="4" t="s">
        <v>158</v>
      </c>
      <c r="C952" s="4" t="s">
        <v>258</v>
      </c>
      <c r="D952" s="8">
        <v>45921</v>
      </c>
      <c r="E952" s="11">
        <v>150000</v>
      </c>
    </row>
    <row r="953" spans="1:5" x14ac:dyDescent="0.3">
      <c r="A953" s="13" t="s">
        <v>56</v>
      </c>
      <c r="B953" s="4" t="s">
        <v>156</v>
      </c>
      <c r="C953" s="4" t="s">
        <v>256</v>
      </c>
      <c r="D953" s="8">
        <v>45921</v>
      </c>
      <c r="E953" s="11">
        <v>1000000</v>
      </c>
    </row>
    <row r="954" spans="1:5" x14ac:dyDescent="0.3">
      <c r="A954" s="13" t="s">
        <v>104</v>
      </c>
      <c r="B954" s="4" t="s">
        <v>204</v>
      </c>
      <c r="C954" s="4" t="s">
        <v>304</v>
      </c>
      <c r="D954" s="8">
        <v>45921</v>
      </c>
      <c r="E954" s="11">
        <v>50000</v>
      </c>
    </row>
    <row r="955" spans="1:5" x14ac:dyDescent="0.3">
      <c r="A955" s="13" t="s">
        <v>70</v>
      </c>
      <c r="B955" s="4" t="s">
        <v>170</v>
      </c>
      <c r="C955" s="4" t="s">
        <v>270</v>
      </c>
      <c r="D955" s="8">
        <v>45921</v>
      </c>
      <c r="E955" s="11">
        <v>50000</v>
      </c>
    </row>
    <row r="956" spans="1:5" x14ac:dyDescent="0.3">
      <c r="A956" s="13" t="s">
        <v>39</v>
      </c>
      <c r="B956" s="4" t="s">
        <v>139</v>
      </c>
      <c r="C956" s="4" t="s">
        <v>239</v>
      </c>
      <c r="D956" s="8">
        <v>45921</v>
      </c>
      <c r="E956" s="11">
        <v>250000</v>
      </c>
    </row>
    <row r="957" spans="1:5" x14ac:dyDescent="0.3">
      <c r="A957" s="13" t="s">
        <v>41</v>
      </c>
      <c r="B957" s="4" t="s">
        <v>141</v>
      </c>
      <c r="C957" s="4" t="s">
        <v>241</v>
      </c>
      <c r="D957" s="8">
        <v>45922</v>
      </c>
      <c r="E957" s="11">
        <v>250000</v>
      </c>
    </row>
    <row r="958" spans="1:5" x14ac:dyDescent="0.3">
      <c r="A958" s="13" t="s">
        <v>65</v>
      </c>
      <c r="B958" s="4" t="s">
        <v>165</v>
      </c>
      <c r="C958" s="4" t="s">
        <v>265</v>
      </c>
      <c r="D958" s="8">
        <v>45922</v>
      </c>
      <c r="E958" s="11">
        <v>3000000</v>
      </c>
    </row>
    <row r="959" spans="1:5" x14ac:dyDescent="0.3">
      <c r="A959" s="13" t="s">
        <v>8</v>
      </c>
      <c r="B959" s="4" t="s">
        <v>108</v>
      </c>
      <c r="C959" s="4" t="s">
        <v>208</v>
      </c>
      <c r="D959" s="8">
        <v>45922</v>
      </c>
      <c r="E959" s="11">
        <v>250000</v>
      </c>
    </row>
    <row r="960" spans="1:5" x14ac:dyDescent="0.3">
      <c r="A960" s="13" t="s">
        <v>23</v>
      </c>
      <c r="B960" s="4" t="s">
        <v>123</v>
      </c>
      <c r="C960" s="4" t="s">
        <v>223</v>
      </c>
      <c r="D960" s="8">
        <v>45922</v>
      </c>
      <c r="E960" s="11">
        <v>5000000</v>
      </c>
    </row>
    <row r="961" spans="1:5" x14ac:dyDescent="0.3">
      <c r="A961" s="13" t="s">
        <v>45</v>
      </c>
      <c r="B961" s="4" t="s">
        <v>145</v>
      </c>
      <c r="C961" s="4" t="s">
        <v>245</v>
      </c>
      <c r="D961" s="8">
        <v>45923</v>
      </c>
      <c r="E961" s="11">
        <v>20000000</v>
      </c>
    </row>
    <row r="962" spans="1:5" x14ac:dyDescent="0.3">
      <c r="A962" s="13" t="s">
        <v>89</v>
      </c>
      <c r="B962" s="4" t="s">
        <v>189</v>
      </c>
      <c r="C962" s="4" t="s">
        <v>289</v>
      </c>
      <c r="D962" s="8">
        <v>45923</v>
      </c>
      <c r="E962" s="11">
        <v>100000</v>
      </c>
    </row>
    <row r="963" spans="1:5" x14ac:dyDescent="0.3">
      <c r="A963" s="13" t="s">
        <v>81</v>
      </c>
      <c r="B963" s="4" t="s">
        <v>181</v>
      </c>
      <c r="C963" s="4" t="s">
        <v>281</v>
      </c>
      <c r="D963" s="8">
        <v>45923</v>
      </c>
      <c r="E963" s="11">
        <v>500000</v>
      </c>
    </row>
    <row r="964" spans="1:5" x14ac:dyDescent="0.3">
      <c r="A964" s="13" t="s">
        <v>94</v>
      </c>
      <c r="B964" s="4" t="s">
        <v>194</v>
      </c>
      <c r="C964" s="4" t="s">
        <v>294</v>
      </c>
      <c r="D964" s="8">
        <v>45923</v>
      </c>
      <c r="E964" s="11">
        <v>150000</v>
      </c>
    </row>
    <row r="965" spans="1:5" x14ac:dyDescent="0.3">
      <c r="A965" s="13" t="s">
        <v>24</v>
      </c>
      <c r="B965" s="4" t="s">
        <v>124</v>
      </c>
      <c r="C965" s="4" t="s">
        <v>224</v>
      </c>
      <c r="D965" s="8">
        <v>45924</v>
      </c>
      <c r="E965" s="11">
        <v>20000000</v>
      </c>
    </row>
    <row r="966" spans="1:5" x14ac:dyDescent="0.3">
      <c r="A966" s="13" t="s">
        <v>20</v>
      </c>
      <c r="B966" s="4" t="s">
        <v>120</v>
      </c>
      <c r="C966" s="4" t="s">
        <v>220</v>
      </c>
      <c r="D966" s="8">
        <v>45925</v>
      </c>
      <c r="E966" s="11">
        <v>100000</v>
      </c>
    </row>
    <row r="967" spans="1:5" x14ac:dyDescent="0.3">
      <c r="A967" s="13" t="s">
        <v>25</v>
      </c>
      <c r="B967" s="4" t="s">
        <v>125</v>
      </c>
      <c r="C967" s="4" t="s">
        <v>225</v>
      </c>
      <c r="D967" s="8">
        <v>45926</v>
      </c>
      <c r="E967" s="11">
        <v>1000000</v>
      </c>
    </row>
    <row r="968" spans="1:5" x14ac:dyDescent="0.3">
      <c r="A968" s="13" t="s">
        <v>69</v>
      </c>
      <c r="B968" s="4" t="s">
        <v>169</v>
      </c>
      <c r="C968" s="4" t="s">
        <v>269</v>
      </c>
      <c r="D968" s="8">
        <v>45926</v>
      </c>
      <c r="E968" s="11">
        <v>7000000</v>
      </c>
    </row>
    <row r="969" spans="1:5" x14ac:dyDescent="0.3">
      <c r="A969" s="13" t="s">
        <v>75</v>
      </c>
      <c r="B969" s="4" t="s">
        <v>175</v>
      </c>
      <c r="C969" s="4" t="s">
        <v>275</v>
      </c>
      <c r="D969" s="8">
        <v>45926</v>
      </c>
      <c r="E969" s="11">
        <v>2000000</v>
      </c>
    </row>
    <row r="970" spans="1:5" x14ac:dyDescent="0.3">
      <c r="A970" s="13" t="s">
        <v>33</v>
      </c>
      <c r="B970" s="4" t="s">
        <v>133</v>
      </c>
      <c r="C970" s="4" t="s">
        <v>233</v>
      </c>
      <c r="D970" s="8">
        <v>45926</v>
      </c>
      <c r="E970" s="11">
        <v>500000</v>
      </c>
    </row>
    <row r="971" spans="1:5" x14ac:dyDescent="0.3">
      <c r="A971" s="13" t="s">
        <v>73</v>
      </c>
      <c r="B971" s="4" t="s">
        <v>173</v>
      </c>
      <c r="C971" s="4" t="s">
        <v>273</v>
      </c>
      <c r="D971" s="8">
        <v>45926</v>
      </c>
      <c r="E971" s="11">
        <v>1000000</v>
      </c>
    </row>
    <row r="972" spans="1:5" x14ac:dyDescent="0.3">
      <c r="A972" s="13" t="s">
        <v>46</v>
      </c>
      <c r="B972" s="4" t="s">
        <v>146</v>
      </c>
      <c r="C972" s="4" t="s">
        <v>246</v>
      </c>
      <c r="D972" s="8">
        <v>45926</v>
      </c>
      <c r="E972" s="11">
        <v>3000000</v>
      </c>
    </row>
    <row r="973" spans="1:5" x14ac:dyDescent="0.3">
      <c r="A973" s="13" t="s">
        <v>26</v>
      </c>
      <c r="B973" s="4" t="s">
        <v>126</v>
      </c>
      <c r="C973" s="4" t="s">
        <v>226</v>
      </c>
      <c r="D973" s="8">
        <v>45926</v>
      </c>
      <c r="E973" s="11">
        <v>500000</v>
      </c>
    </row>
    <row r="974" spans="1:5" x14ac:dyDescent="0.3">
      <c r="A974" s="13" t="s">
        <v>7</v>
      </c>
      <c r="B974" s="4" t="s">
        <v>107</v>
      </c>
      <c r="C974" s="4" t="s">
        <v>207</v>
      </c>
      <c r="D974" s="8">
        <v>45928</v>
      </c>
      <c r="E974" s="11">
        <v>10000000</v>
      </c>
    </row>
    <row r="975" spans="1:5" x14ac:dyDescent="0.3">
      <c r="A975" s="13" t="s">
        <v>80</v>
      </c>
      <c r="B975" s="4" t="s">
        <v>180</v>
      </c>
      <c r="C975" s="4" t="s">
        <v>280</v>
      </c>
      <c r="D975" s="8">
        <v>45928</v>
      </c>
      <c r="E975" s="11">
        <v>5000000</v>
      </c>
    </row>
    <row r="976" spans="1:5" x14ac:dyDescent="0.3">
      <c r="A976" s="13" t="s">
        <v>46</v>
      </c>
      <c r="B976" s="4" t="s">
        <v>146</v>
      </c>
      <c r="C976" s="4" t="s">
        <v>246</v>
      </c>
      <c r="D976" s="8">
        <v>45928</v>
      </c>
      <c r="E976" s="11">
        <v>150000</v>
      </c>
    </row>
    <row r="977" spans="1:5" x14ac:dyDescent="0.3">
      <c r="A977" s="13" t="s">
        <v>84</v>
      </c>
      <c r="B977" s="4" t="s">
        <v>184</v>
      </c>
      <c r="C977" s="4" t="s">
        <v>284</v>
      </c>
      <c r="D977" s="8">
        <v>45928</v>
      </c>
      <c r="E977" s="11">
        <v>3000000</v>
      </c>
    </row>
    <row r="978" spans="1:5" x14ac:dyDescent="0.3">
      <c r="A978" s="13" t="s">
        <v>27</v>
      </c>
      <c r="B978" s="4" t="s">
        <v>127</v>
      </c>
      <c r="C978" s="4" t="s">
        <v>227</v>
      </c>
      <c r="D978" s="8">
        <v>45928</v>
      </c>
      <c r="E978" s="11">
        <v>200000</v>
      </c>
    </row>
    <row r="979" spans="1:5" x14ac:dyDescent="0.3">
      <c r="A979" s="13" t="s">
        <v>39</v>
      </c>
      <c r="B979" s="4" t="s">
        <v>139</v>
      </c>
      <c r="C979" s="4" t="s">
        <v>239</v>
      </c>
      <c r="D979" s="8">
        <v>45929</v>
      </c>
      <c r="E979" s="11">
        <v>5000000</v>
      </c>
    </row>
    <row r="980" spans="1:5" x14ac:dyDescent="0.3">
      <c r="A980" s="13" t="s">
        <v>28</v>
      </c>
      <c r="B980" s="4" t="s">
        <v>128</v>
      </c>
      <c r="C980" s="4" t="s">
        <v>228</v>
      </c>
      <c r="D980" s="8">
        <v>45929</v>
      </c>
      <c r="E980" s="11">
        <v>5000000</v>
      </c>
    </row>
    <row r="981" spans="1:5" x14ac:dyDescent="0.3">
      <c r="A981" s="13" t="s">
        <v>17</v>
      </c>
      <c r="B981" s="4" t="s">
        <v>117</v>
      </c>
      <c r="C981" s="4" t="s">
        <v>217</v>
      </c>
      <c r="D981" s="8">
        <v>45930</v>
      </c>
      <c r="E981" s="11">
        <v>10000000</v>
      </c>
    </row>
    <row r="982" spans="1:5" x14ac:dyDescent="0.3">
      <c r="A982" s="13" t="s">
        <v>67</v>
      </c>
      <c r="B982" s="4" t="s">
        <v>167</v>
      </c>
      <c r="C982" s="4" t="s">
        <v>267</v>
      </c>
      <c r="D982" s="8">
        <v>45930</v>
      </c>
      <c r="E982" s="11">
        <v>100000</v>
      </c>
    </row>
    <row r="983" spans="1:5" x14ac:dyDescent="0.3">
      <c r="A983" s="13" t="s">
        <v>42</v>
      </c>
      <c r="B983" s="4" t="s">
        <v>142</v>
      </c>
      <c r="C983" s="4" t="s">
        <v>242</v>
      </c>
      <c r="D983" s="8">
        <v>45930</v>
      </c>
      <c r="E983" s="11">
        <v>250000</v>
      </c>
    </row>
    <row r="984" spans="1:5" x14ac:dyDescent="0.3">
      <c r="A984" s="13" t="s">
        <v>36</v>
      </c>
      <c r="B984" s="4" t="s">
        <v>136</v>
      </c>
      <c r="C984" s="4" t="s">
        <v>236</v>
      </c>
      <c r="D984" s="8">
        <v>45930</v>
      </c>
      <c r="E984" s="11">
        <v>10000000</v>
      </c>
    </row>
    <row r="985" spans="1:5" x14ac:dyDescent="0.3">
      <c r="A985" s="13" t="s">
        <v>30</v>
      </c>
      <c r="B985" s="4" t="s">
        <v>130</v>
      </c>
      <c r="C985" s="4" t="s">
        <v>230</v>
      </c>
      <c r="D985" s="8">
        <v>45930</v>
      </c>
      <c r="E985" s="11">
        <v>20000000</v>
      </c>
    </row>
    <row r="986" spans="1:5" x14ac:dyDescent="0.3">
      <c r="A986" s="13" t="s">
        <v>59</v>
      </c>
      <c r="B986" s="4" t="s">
        <v>159</v>
      </c>
      <c r="C986" s="4" t="s">
        <v>259</v>
      </c>
      <c r="D986" s="8">
        <v>45930</v>
      </c>
      <c r="E986" s="11">
        <v>50000</v>
      </c>
    </row>
    <row r="987" spans="1:5" x14ac:dyDescent="0.3">
      <c r="A987" s="13" t="s">
        <v>104</v>
      </c>
      <c r="B987" s="4" t="s">
        <v>204</v>
      </c>
      <c r="C987" s="4" t="s">
        <v>304</v>
      </c>
      <c r="D987" s="8">
        <v>45930</v>
      </c>
      <c r="E987" s="11">
        <v>50000</v>
      </c>
    </row>
    <row r="988" spans="1:5" x14ac:dyDescent="0.3">
      <c r="A988" s="13" t="s">
        <v>10</v>
      </c>
      <c r="B988" s="4" t="s">
        <v>110</v>
      </c>
      <c r="C988" s="4" t="s">
        <v>210</v>
      </c>
      <c r="D988" s="8">
        <v>45930</v>
      </c>
      <c r="E988" s="11">
        <v>200000</v>
      </c>
    </row>
    <row r="989" spans="1:5" x14ac:dyDescent="0.3">
      <c r="A989" s="13" t="s">
        <v>91</v>
      </c>
      <c r="B989" s="4" t="s">
        <v>191</v>
      </c>
      <c r="C989" s="4" t="s">
        <v>291</v>
      </c>
      <c r="D989" s="8">
        <v>45930</v>
      </c>
      <c r="E989" s="11">
        <v>150000</v>
      </c>
    </row>
    <row r="990" spans="1:5" x14ac:dyDescent="0.3">
      <c r="A990" s="13" t="s">
        <v>87</v>
      </c>
      <c r="B990" s="4" t="s">
        <v>187</v>
      </c>
      <c r="C990" s="4" t="s">
        <v>287</v>
      </c>
      <c r="D990" s="8">
        <v>45930</v>
      </c>
      <c r="E990" s="11">
        <v>20000000</v>
      </c>
    </row>
    <row r="991" spans="1:5" x14ac:dyDescent="0.3">
      <c r="A991" s="13" t="s">
        <v>67</v>
      </c>
      <c r="B991" s="4" t="s">
        <v>167</v>
      </c>
      <c r="C991" s="4" t="s">
        <v>267</v>
      </c>
      <c r="D991" s="8">
        <v>45931</v>
      </c>
      <c r="E991" s="11">
        <v>500000</v>
      </c>
    </row>
    <row r="992" spans="1:5" x14ac:dyDescent="0.3">
      <c r="A992" s="13" t="s">
        <v>26</v>
      </c>
      <c r="B992" s="4" t="s">
        <v>126</v>
      </c>
      <c r="C992" s="4" t="s">
        <v>226</v>
      </c>
      <c r="D992" s="8">
        <v>45931</v>
      </c>
      <c r="E992" s="11">
        <v>20000000</v>
      </c>
    </row>
    <row r="993" spans="1:5" x14ac:dyDescent="0.3">
      <c r="A993" s="13" t="s">
        <v>20</v>
      </c>
      <c r="B993" s="4" t="s">
        <v>120</v>
      </c>
      <c r="C993" s="4" t="s">
        <v>220</v>
      </c>
      <c r="D993" s="8">
        <v>45931</v>
      </c>
      <c r="E993" s="11">
        <v>100000</v>
      </c>
    </row>
    <row r="994" spans="1:5" x14ac:dyDescent="0.3">
      <c r="A994" s="13" t="s">
        <v>101</v>
      </c>
      <c r="B994" s="4" t="s">
        <v>201</v>
      </c>
      <c r="C994" s="4" t="s">
        <v>301</v>
      </c>
      <c r="D994" s="8">
        <v>45931</v>
      </c>
      <c r="E994" s="11">
        <v>7000000</v>
      </c>
    </row>
    <row r="995" spans="1:5" x14ac:dyDescent="0.3">
      <c r="A995" s="13" t="s">
        <v>14</v>
      </c>
      <c r="B995" s="4" t="s">
        <v>114</v>
      </c>
      <c r="C995" s="4" t="s">
        <v>214</v>
      </c>
      <c r="D995" s="8">
        <v>45932</v>
      </c>
      <c r="E995" s="11">
        <v>2000000</v>
      </c>
    </row>
    <row r="996" spans="1:5" x14ac:dyDescent="0.3">
      <c r="A996" s="13" t="s">
        <v>39</v>
      </c>
      <c r="B996" s="4" t="s">
        <v>139</v>
      </c>
      <c r="C996" s="4" t="s">
        <v>239</v>
      </c>
      <c r="D996" s="8">
        <v>45932</v>
      </c>
      <c r="E996" s="11">
        <v>200000</v>
      </c>
    </row>
    <row r="997" spans="1:5" x14ac:dyDescent="0.3">
      <c r="A997" s="13" t="s">
        <v>47</v>
      </c>
      <c r="B997" s="4" t="s">
        <v>147</v>
      </c>
      <c r="C997" s="4" t="s">
        <v>247</v>
      </c>
      <c r="D997" s="8">
        <v>45932</v>
      </c>
      <c r="E997" s="11">
        <v>3000000</v>
      </c>
    </row>
    <row r="998" spans="1:5" x14ac:dyDescent="0.3">
      <c r="A998" s="13" t="s">
        <v>32</v>
      </c>
      <c r="B998" s="4" t="s">
        <v>132</v>
      </c>
      <c r="C998" s="4" t="s">
        <v>232</v>
      </c>
      <c r="D998" s="8">
        <v>45932</v>
      </c>
      <c r="E998" s="11">
        <v>1000000</v>
      </c>
    </row>
    <row r="999" spans="1:5" x14ac:dyDescent="0.3">
      <c r="A999" s="13" t="s">
        <v>9</v>
      </c>
      <c r="B999" s="4" t="s">
        <v>109</v>
      </c>
      <c r="C999" s="4" t="s">
        <v>209</v>
      </c>
      <c r="D999" s="8">
        <v>45932</v>
      </c>
      <c r="E999" s="11">
        <v>50000</v>
      </c>
    </row>
    <row r="1000" spans="1:5" x14ac:dyDescent="0.3">
      <c r="A1000" s="13" t="s">
        <v>27</v>
      </c>
      <c r="B1000" s="4" t="s">
        <v>127</v>
      </c>
      <c r="C1000" s="4" t="s">
        <v>227</v>
      </c>
      <c r="D1000" s="8">
        <v>45932</v>
      </c>
      <c r="E1000" s="11">
        <v>5000000</v>
      </c>
    </row>
    <row r="1001" spans="1:5" x14ac:dyDescent="0.3">
      <c r="A1001" s="13" t="s">
        <v>77</v>
      </c>
      <c r="B1001" s="4" t="s">
        <v>177</v>
      </c>
      <c r="C1001" s="4" t="s">
        <v>277</v>
      </c>
      <c r="D1001" s="8">
        <v>45933</v>
      </c>
      <c r="E1001" s="11">
        <v>7000000</v>
      </c>
    </row>
  </sheetData>
  <phoneticPr fontId="2"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FD46F-32E5-41E6-A82D-09F583074467}">
  <dimension ref="A1:I101"/>
  <sheetViews>
    <sheetView topLeftCell="E10" zoomScaleNormal="100" workbookViewId="0">
      <selection activeCell="K16" sqref="A1:XFD1048576"/>
    </sheetView>
  </sheetViews>
  <sheetFormatPr defaultRowHeight="14.4" x14ac:dyDescent="0.3"/>
  <cols>
    <col min="1" max="1" width="26.6640625" bestFit="1" customWidth="1"/>
    <col min="2" max="2" width="20.109375" customWidth="1"/>
    <col min="3" max="3" width="23.88671875" bestFit="1" customWidth="1"/>
    <col min="4" max="4" width="24.44140625" bestFit="1" customWidth="1"/>
    <col min="5" max="5" width="51.5546875" bestFit="1" customWidth="1"/>
    <col min="6" max="6" width="48.88671875" bestFit="1" customWidth="1"/>
    <col min="7" max="7" width="35.5546875" customWidth="1"/>
    <col min="8" max="8" width="34.21875" customWidth="1"/>
    <col min="9" max="9" width="15.88671875" bestFit="1" customWidth="1"/>
  </cols>
  <sheetData>
    <row r="1" spans="1:9" x14ac:dyDescent="0.3">
      <c r="A1" s="15" t="s">
        <v>0</v>
      </c>
      <c r="B1" t="s">
        <v>308</v>
      </c>
      <c r="C1" t="s">
        <v>309</v>
      </c>
      <c r="D1" t="s">
        <v>310</v>
      </c>
      <c r="E1" t="s">
        <v>311</v>
      </c>
      <c r="F1" t="s">
        <v>312</v>
      </c>
      <c r="G1" t="s">
        <v>307</v>
      </c>
      <c r="H1" t="s">
        <v>318</v>
      </c>
      <c r="I1" t="s">
        <v>317</v>
      </c>
    </row>
    <row r="2" spans="1:9" x14ac:dyDescent="0.3">
      <c r="A2" s="16" t="s">
        <v>56</v>
      </c>
      <c r="B2">
        <v>17</v>
      </c>
      <c r="C2" s="14">
        <v>45668</v>
      </c>
      <c r="D2" s="14">
        <v>45921</v>
      </c>
      <c r="E2">
        <f ca="1">12*(YEAR(TODAY()) - YEAR(D2))+ (MONTH(TODAY()) - MONTH(D2))</f>
        <v>2</v>
      </c>
      <c r="F2">
        <f>IF((12 * (YEAR(D2) - YEAR(C2)) + (MONTH(D2) - MONTH(C2))) = 0, B2, B2 / (12 * (YEAR(D2) - YEAR(C2)) + (MONTH(D2) - MONTH(C2))))</f>
        <v>2.125</v>
      </c>
      <c r="G2" t="str" cm="1">
        <f t="array" aca="1" ref="G2" ca="1">IFERROR(_xlfn.IFS(B2/(MAX(1, 12*(YEAR(D2)-YEAR(C2)) + (MONTH(D2)-MONTH(C2)))) &gt;= 2, "Loyal",D2 &gt;= EDATE(TODAY(), -3), "Aktif",TRUE, "Pasif"),"Pasif")</f>
        <v>Loyal</v>
      </c>
      <c r="H2" s="10">
        <v>49000000</v>
      </c>
      <c r="I2" t="str" cm="1">
        <f t="array" ref="I2">_xlfn.IFS(H2&lt;5000000, "Bronze",H2&lt;10000000, "Silver",H2&lt;20000000, "Gold", H2&gt;=20000000, "Diamond")</f>
        <v>Diamond</v>
      </c>
    </row>
    <row r="3" spans="1:9" x14ac:dyDescent="0.3">
      <c r="A3" s="16" t="s">
        <v>83</v>
      </c>
      <c r="B3">
        <v>7</v>
      </c>
      <c r="C3" s="14">
        <v>45710</v>
      </c>
      <c r="D3" s="14">
        <v>45901</v>
      </c>
      <c r="E3">
        <f t="shared" ref="E3:E66" ca="1" si="0">12*(YEAR(TODAY()) - YEAR(D3))+ (MONTH(TODAY()) - MONTH(D3))</f>
        <v>2</v>
      </c>
      <c r="F3">
        <f t="shared" ref="F3:F66" si="1">IF((12 * (YEAR(D3) - YEAR(C3)) + (MONTH(D3) - MONTH(C3))) = 0, B3, B3 / (12 * (YEAR(D3) - YEAR(C3)) + (MONTH(D3) - MONTH(C3))))</f>
        <v>1</v>
      </c>
      <c r="G3" t="str" cm="1">
        <f t="array" aca="1" ref="G3" ca="1">IFERROR(_xlfn.IFS(B3/(MAX(1, 12*(YEAR(D3)-YEAR(C3)) + (MONTH(D3)-MONTH(C3)))) &gt;= 2, "Loyal",D3 &gt;= EDATE(TODAY(), -3), "Aktif",TRUE, "Pasif"),"Pasif")</f>
        <v>Aktif</v>
      </c>
      <c r="H3" s="10">
        <v>47400000</v>
      </c>
      <c r="I3" t="str" cm="1">
        <f t="array" ref="I3">_xlfn.IFS(H3&lt;5000000, "Bronze",H3&lt;10000000, "Silver",H3&lt;20000000, "Gold", H3&gt;=20000000, "Diamond")</f>
        <v>Diamond</v>
      </c>
    </row>
    <row r="4" spans="1:9" x14ac:dyDescent="0.3">
      <c r="A4" s="16" t="s">
        <v>54</v>
      </c>
      <c r="B4">
        <v>6</v>
      </c>
      <c r="C4" s="14">
        <v>45660</v>
      </c>
      <c r="D4" s="14">
        <v>45810</v>
      </c>
      <c r="E4">
        <f t="shared" ca="1" si="0"/>
        <v>5</v>
      </c>
      <c r="F4">
        <f t="shared" si="1"/>
        <v>1.2</v>
      </c>
      <c r="G4" t="str" cm="1">
        <f t="array" aca="1" ref="G4" ca="1">IFERROR(_xlfn.IFS(B4/(MAX(1, 12*(YEAR(D4)-YEAR(C4)) + (MONTH(D4)-MONTH(C4)))) &gt;= 2, "Loyal",D4 &gt;= EDATE(TODAY(), -3), "Aktif",TRUE, "Pasif"),"Pasif")</f>
        <v>Pasif</v>
      </c>
      <c r="H4" s="10">
        <v>7500000</v>
      </c>
      <c r="I4" t="str" cm="1">
        <f t="array" ref="I4">_xlfn.IFS(H4&lt;5000000, "Bronze",H4&lt;10000000, "Silver",H4&lt;20000000, "Gold", H4&gt;=20000000, "Diamond")</f>
        <v>Silver</v>
      </c>
    </row>
    <row r="5" spans="1:9" x14ac:dyDescent="0.3">
      <c r="A5" s="16" t="s">
        <v>99</v>
      </c>
      <c r="B5">
        <v>9</v>
      </c>
      <c r="C5" s="14">
        <v>45688</v>
      </c>
      <c r="D5" s="14">
        <v>45916</v>
      </c>
      <c r="E5">
        <f t="shared" ca="1" si="0"/>
        <v>2</v>
      </c>
      <c r="F5">
        <f t="shared" si="1"/>
        <v>1.125</v>
      </c>
      <c r="G5" t="str" cm="1">
        <f t="array" aca="1" ref="G5" ca="1">IFERROR(_xlfn.IFS(B5/(MAX(1, 12*(YEAR(D5)-YEAR(C5)) + (MONTH(D5)-MONTH(C5)))) &gt;= 2, "Loyal",D5 &gt;= EDATE(TODAY(), -3), "Aktif",TRUE, "Pasif"),"Pasif")</f>
        <v>Aktif</v>
      </c>
      <c r="H5" s="10">
        <v>26300000</v>
      </c>
      <c r="I5" t="str" cm="1">
        <f t="array" ref="I5">_xlfn.IFS(H5&lt;5000000, "Bronze",H5&lt;10000000, "Silver",H5&lt;20000000, "Gold", H5&gt;=20000000, "Diamond")</f>
        <v>Diamond</v>
      </c>
    </row>
    <row r="6" spans="1:9" x14ac:dyDescent="0.3">
      <c r="A6" s="16" t="s">
        <v>55</v>
      </c>
      <c r="B6">
        <v>11</v>
      </c>
      <c r="C6" s="14">
        <v>45684</v>
      </c>
      <c r="D6" s="14">
        <v>45911</v>
      </c>
      <c r="E6">
        <f t="shared" ca="1" si="0"/>
        <v>2</v>
      </c>
      <c r="F6">
        <f t="shared" si="1"/>
        <v>1.375</v>
      </c>
      <c r="G6" t="str" cm="1">
        <f t="array" aca="1" ref="G6" ca="1">IFERROR(_xlfn.IFS(B6/(MAX(1, 12*(YEAR(D6)-YEAR(C6)) + (MONTH(D6)-MONTH(C6)))) &gt;= 2, "Loyal",D6 &gt;= EDATE(TODAY(), -3), "Aktif",TRUE, "Pasif"),"Pasif")</f>
        <v>Aktif</v>
      </c>
      <c r="H6" s="10">
        <v>50950000</v>
      </c>
      <c r="I6" t="str" cm="1">
        <f t="array" ref="I6">_xlfn.IFS(H6&lt;5000000, "Bronze",H6&lt;10000000, "Silver",H6&lt;20000000, "Gold", H6&gt;=20000000, "Diamond")</f>
        <v>Diamond</v>
      </c>
    </row>
    <row r="7" spans="1:9" x14ac:dyDescent="0.3">
      <c r="A7" s="16" t="s">
        <v>9</v>
      </c>
      <c r="B7">
        <v>12</v>
      </c>
      <c r="C7" s="14">
        <v>45685</v>
      </c>
      <c r="D7" s="14">
        <v>45932</v>
      </c>
      <c r="E7">
        <f t="shared" ca="1" si="0"/>
        <v>1</v>
      </c>
      <c r="F7">
        <f t="shared" si="1"/>
        <v>1.3333333333333333</v>
      </c>
      <c r="G7" t="str" cm="1">
        <f t="array" aca="1" ref="G7" ca="1">IFERROR(_xlfn.IFS(B7/(MAX(1, 12*(YEAR(D7)-YEAR(C7)) + (MONTH(D7)-MONTH(C7)))) &gt;= 2, "Loyal",D7 &gt;= EDATE(TODAY(), -3), "Aktif",TRUE, "Pasif"),"Pasif")</f>
        <v>Aktif</v>
      </c>
      <c r="H7" s="10">
        <v>24900000</v>
      </c>
      <c r="I7" t="str" cm="1">
        <f t="array" ref="I7">_xlfn.IFS(H7&lt;5000000, "Bronze",H7&lt;10000000, "Silver",H7&lt;20000000, "Gold", H7&gt;=20000000, "Diamond")</f>
        <v>Diamond</v>
      </c>
    </row>
    <row r="8" spans="1:9" x14ac:dyDescent="0.3">
      <c r="A8" s="16" t="s">
        <v>78</v>
      </c>
      <c r="B8">
        <v>17</v>
      </c>
      <c r="C8" s="14">
        <v>45676</v>
      </c>
      <c r="D8" s="14">
        <v>45916</v>
      </c>
      <c r="E8">
        <f t="shared" ca="1" si="0"/>
        <v>2</v>
      </c>
      <c r="F8">
        <f t="shared" si="1"/>
        <v>2.125</v>
      </c>
      <c r="G8" t="str" cm="1">
        <f t="array" aca="1" ref="G8" ca="1">IFERROR(_xlfn.IFS(B8/(MAX(1, 12*(YEAR(D8)-YEAR(C8)) + (MONTH(D8)-MONTH(C8)))) &gt;= 2, "Loyal",D8 &gt;= EDATE(TODAY(), -3), "Aktif",TRUE, "Pasif"),"Pasif")</f>
        <v>Loyal</v>
      </c>
      <c r="H8" s="10">
        <v>115650000</v>
      </c>
      <c r="I8" t="str" cm="1">
        <f t="array" ref="I8">_xlfn.IFS(H8&lt;5000000, "Bronze",H8&lt;10000000, "Silver",H8&lt;20000000, "Gold", H8&gt;=20000000, "Diamond")</f>
        <v>Diamond</v>
      </c>
    </row>
    <row r="9" spans="1:9" x14ac:dyDescent="0.3">
      <c r="A9" s="16" t="s">
        <v>7</v>
      </c>
      <c r="B9">
        <v>3</v>
      </c>
      <c r="C9" s="14">
        <v>45851</v>
      </c>
      <c r="D9" s="14">
        <v>45928</v>
      </c>
      <c r="E9">
        <f t="shared" ca="1" si="0"/>
        <v>2</v>
      </c>
      <c r="F9">
        <f t="shared" si="1"/>
        <v>1.5</v>
      </c>
      <c r="G9" t="str" cm="1">
        <f t="array" aca="1" ref="G9" ca="1">IFERROR(_xlfn.IFS(B9/(MAX(1, 12*(YEAR(D9)-YEAR(C9)) + (MONTH(D9)-MONTH(C9)))) &gt;= 2, "Loyal",D9 &gt;= EDATE(TODAY(), -3), "Aktif",TRUE, "Pasif"),"Pasif")</f>
        <v>Aktif</v>
      </c>
      <c r="H9" s="10">
        <v>30150000</v>
      </c>
      <c r="I9" t="str" cm="1">
        <f t="array" ref="I9">_xlfn.IFS(H9&lt;5000000, "Bronze",H9&lt;10000000, "Silver",H9&lt;20000000, "Gold", H9&gt;=20000000, "Diamond")</f>
        <v>Diamond</v>
      </c>
    </row>
    <row r="10" spans="1:9" x14ac:dyDescent="0.3">
      <c r="A10" s="16" t="s">
        <v>35</v>
      </c>
      <c r="B10">
        <v>14</v>
      </c>
      <c r="C10" s="14">
        <v>45664</v>
      </c>
      <c r="D10" s="14">
        <v>45906</v>
      </c>
      <c r="E10">
        <f t="shared" ca="1" si="0"/>
        <v>2</v>
      </c>
      <c r="F10">
        <f t="shared" si="1"/>
        <v>1.75</v>
      </c>
      <c r="G10" t="str" cm="1">
        <f t="array" aca="1" ref="G10" ca="1">IFERROR(_xlfn.IFS(B10/(MAX(1, 12*(YEAR(D10)-YEAR(C10)) + (MONTH(D10)-MONTH(C10)))) &gt;= 2, "Loyal",D10 &gt;= EDATE(TODAY(), -3), "Aktif",TRUE, "Pasif"),"Pasif")</f>
        <v>Aktif</v>
      </c>
      <c r="H10" s="10">
        <v>97200000</v>
      </c>
      <c r="I10" t="str" cm="1">
        <f t="array" ref="I10">_xlfn.IFS(H10&lt;5000000, "Bronze",H10&lt;10000000, "Silver",H10&lt;20000000, "Gold", H10&gt;=20000000, "Diamond")</f>
        <v>Diamond</v>
      </c>
    </row>
    <row r="11" spans="1:9" x14ac:dyDescent="0.3">
      <c r="A11" s="16" t="s">
        <v>10</v>
      </c>
      <c r="B11">
        <v>10</v>
      </c>
      <c r="C11" s="14">
        <v>45685</v>
      </c>
      <c r="D11" s="14">
        <v>45930</v>
      </c>
      <c r="E11">
        <f t="shared" ca="1" si="0"/>
        <v>2</v>
      </c>
      <c r="F11">
        <f t="shared" si="1"/>
        <v>1.25</v>
      </c>
      <c r="G11" t="str" cm="1">
        <f t="array" aca="1" ref="G11" ca="1">IFERROR(_xlfn.IFS(B11/(MAX(1, 12*(YEAR(D11)-YEAR(C11)) + (MONTH(D11)-MONTH(C11)))) &gt;= 2, "Loyal",D11 &gt;= EDATE(TODAY(), -3), "Aktif",TRUE, "Pasif"),"Pasif")</f>
        <v>Aktif</v>
      </c>
      <c r="H11" s="10">
        <v>36200000</v>
      </c>
      <c r="I11" t="str" cm="1">
        <f t="array" ref="I11">_xlfn.IFS(H11&lt;5000000, "Bronze",H11&lt;10000000, "Silver",H11&lt;20000000, "Gold", H11&gt;=20000000, "Diamond")</f>
        <v>Diamond</v>
      </c>
    </row>
    <row r="12" spans="1:9" x14ac:dyDescent="0.3">
      <c r="A12" s="16" t="s">
        <v>19</v>
      </c>
      <c r="B12">
        <v>11</v>
      </c>
      <c r="C12" s="14">
        <v>45665</v>
      </c>
      <c r="D12" s="14">
        <v>45900</v>
      </c>
      <c r="E12">
        <f t="shared" ca="1" si="0"/>
        <v>3</v>
      </c>
      <c r="F12">
        <f t="shared" si="1"/>
        <v>1.5714285714285714</v>
      </c>
      <c r="G12" t="str" cm="1">
        <f t="array" aca="1" ref="G12" ca="1">IFERROR(_xlfn.IFS(B12/(MAX(1, 12*(YEAR(D12)-YEAR(C12)) + (MONTH(D12)-MONTH(C12)))) &gt;= 2, "Loyal",D12 &gt;= EDATE(TODAY(), -3), "Aktif",TRUE, "Pasif"),"Pasif")</f>
        <v>Aktif</v>
      </c>
      <c r="H12" s="10">
        <v>63400000</v>
      </c>
      <c r="I12" t="str" cm="1">
        <f t="array" ref="I12">_xlfn.IFS(H12&lt;5000000, "Bronze",H12&lt;10000000, "Silver",H12&lt;20000000, "Gold", H12&gt;=20000000, "Diamond")</f>
        <v>Diamond</v>
      </c>
    </row>
    <row r="13" spans="1:9" x14ac:dyDescent="0.3">
      <c r="A13" s="16" t="s">
        <v>74</v>
      </c>
      <c r="B13">
        <v>11</v>
      </c>
      <c r="C13" s="14">
        <v>45700</v>
      </c>
      <c r="D13" s="14">
        <v>45861</v>
      </c>
      <c r="E13">
        <f t="shared" ca="1" si="0"/>
        <v>4</v>
      </c>
      <c r="F13">
        <f t="shared" si="1"/>
        <v>2.2000000000000002</v>
      </c>
      <c r="G13" t="str" cm="1">
        <f t="array" aca="1" ref="G13" ca="1">IFERROR(_xlfn.IFS(B13/(MAX(1, 12*(YEAR(D13)-YEAR(C13)) + (MONTH(D13)-MONTH(C13)))) &gt;= 2, "Loyal",D13 &gt;= EDATE(TODAY(), -3), "Aktif",TRUE, "Pasif"),"Pasif")</f>
        <v>Loyal</v>
      </c>
      <c r="H13" s="10">
        <v>57450000</v>
      </c>
      <c r="I13" t="str" cm="1">
        <f t="array" ref="I13">_xlfn.IFS(H13&lt;5000000, "Bronze",H13&lt;10000000, "Silver",H13&lt;20000000, "Gold", H13&gt;=20000000, "Diamond")</f>
        <v>Diamond</v>
      </c>
    </row>
    <row r="14" spans="1:9" x14ac:dyDescent="0.3">
      <c r="A14" s="16" t="s">
        <v>27</v>
      </c>
      <c r="B14">
        <v>12</v>
      </c>
      <c r="C14" s="14">
        <v>45667</v>
      </c>
      <c r="D14" s="14">
        <v>45932</v>
      </c>
      <c r="E14">
        <f t="shared" ca="1" si="0"/>
        <v>1</v>
      </c>
      <c r="F14">
        <f t="shared" si="1"/>
        <v>1.3333333333333333</v>
      </c>
      <c r="G14" t="str" cm="1">
        <f t="array" aca="1" ref="G14" ca="1">IFERROR(_xlfn.IFS(B14/(MAX(1, 12*(YEAR(D14)-YEAR(C14)) + (MONTH(D14)-MONTH(C14)))) &gt;= 2, "Loyal",D14 &gt;= EDATE(TODAY(), -3), "Aktif",TRUE, "Pasif"),"Pasif")</f>
        <v>Aktif</v>
      </c>
      <c r="H14" s="10">
        <v>29050000</v>
      </c>
      <c r="I14" t="str" cm="1">
        <f t="array" ref="I14">_xlfn.IFS(H14&lt;5000000, "Bronze",H14&lt;10000000, "Silver",H14&lt;20000000, "Gold", H14&gt;=20000000, "Diamond")</f>
        <v>Diamond</v>
      </c>
    </row>
    <row r="15" spans="1:9" x14ac:dyDescent="0.3">
      <c r="A15" s="16" t="s">
        <v>85</v>
      </c>
      <c r="B15">
        <v>12</v>
      </c>
      <c r="C15" s="14">
        <v>45682</v>
      </c>
      <c r="D15" s="14">
        <v>45915</v>
      </c>
      <c r="E15">
        <f t="shared" ca="1" si="0"/>
        <v>2</v>
      </c>
      <c r="F15">
        <f t="shared" si="1"/>
        <v>1.5</v>
      </c>
      <c r="G15" t="str" cm="1">
        <f t="array" aca="1" ref="G15" ca="1">IFERROR(_xlfn.IFS(B15/(MAX(1, 12*(YEAR(D15)-YEAR(C15)) + (MONTH(D15)-MONTH(C15)))) &gt;= 2, "Loyal",D15 &gt;= EDATE(TODAY(), -3), "Aktif",TRUE, "Pasif"),"Pasif")</f>
        <v>Aktif</v>
      </c>
      <c r="H15" s="10">
        <v>18900000</v>
      </c>
      <c r="I15" t="str" cm="1">
        <f t="array" ref="I15">_xlfn.IFS(H15&lt;5000000, "Bronze",H15&lt;10000000, "Silver",H15&lt;20000000, "Gold", H15&gt;=20000000, "Diamond")</f>
        <v>Gold</v>
      </c>
    </row>
    <row r="16" spans="1:9" x14ac:dyDescent="0.3">
      <c r="A16" s="16" t="s">
        <v>41</v>
      </c>
      <c r="B16">
        <v>8</v>
      </c>
      <c r="C16" s="14">
        <v>45662</v>
      </c>
      <c r="D16" s="14">
        <v>45922</v>
      </c>
      <c r="E16">
        <f t="shared" ca="1" si="0"/>
        <v>2</v>
      </c>
      <c r="F16">
        <f t="shared" si="1"/>
        <v>1</v>
      </c>
      <c r="G16" t="str" cm="1">
        <f t="array" aca="1" ref="G16" ca="1">IFERROR(_xlfn.IFS(B16/(MAX(1, 12*(YEAR(D16)-YEAR(C16)) + (MONTH(D16)-MONTH(C16)))) &gt;= 2, "Loyal",D16 &gt;= EDATE(TODAY(), -3), "Aktif",TRUE, "Pasif"),"Pasif")</f>
        <v>Aktif</v>
      </c>
      <c r="H16" s="10">
        <v>10400000</v>
      </c>
      <c r="I16" t="str" cm="1">
        <f t="array" ref="I16">_xlfn.IFS(H16&lt;5000000, "Bronze",H16&lt;10000000, "Silver",H16&lt;20000000, "Gold", H16&gt;=20000000, "Diamond")</f>
        <v>Gold</v>
      </c>
    </row>
    <row r="17" spans="1:9" x14ac:dyDescent="0.3">
      <c r="A17" s="16" t="s">
        <v>84</v>
      </c>
      <c r="B17">
        <v>8</v>
      </c>
      <c r="C17" s="14">
        <v>45683</v>
      </c>
      <c r="D17" s="14">
        <v>45928</v>
      </c>
      <c r="E17">
        <f t="shared" ca="1" si="0"/>
        <v>2</v>
      </c>
      <c r="F17">
        <f t="shared" si="1"/>
        <v>1</v>
      </c>
      <c r="G17" t="str" cm="1">
        <f t="array" aca="1" ref="G17" ca="1">IFERROR(_xlfn.IFS(B17/(MAX(1, 12*(YEAR(D17)-YEAR(C17)) + (MONTH(D17)-MONTH(C17)))) &gt;= 2, "Loyal",D17 &gt;= EDATE(TODAY(), -3), "Aktif",TRUE, "Pasif"),"Pasif")</f>
        <v>Aktif</v>
      </c>
      <c r="H17" s="10">
        <v>33150000</v>
      </c>
      <c r="I17" t="str" cm="1">
        <f t="array" ref="I17">_xlfn.IFS(H17&lt;5000000, "Bronze",H17&lt;10000000, "Silver",H17&lt;20000000, "Gold", H17&gt;=20000000, "Diamond")</f>
        <v>Diamond</v>
      </c>
    </row>
    <row r="18" spans="1:9" x14ac:dyDescent="0.3">
      <c r="A18" s="16" t="s">
        <v>8</v>
      </c>
      <c r="B18">
        <v>11</v>
      </c>
      <c r="C18" s="14">
        <v>45660</v>
      </c>
      <c r="D18" s="14">
        <v>45922</v>
      </c>
      <c r="E18">
        <f t="shared" ca="1" si="0"/>
        <v>2</v>
      </c>
      <c r="F18">
        <f t="shared" si="1"/>
        <v>1.375</v>
      </c>
      <c r="G18" t="str" cm="1">
        <f t="array" aca="1" ref="G18" ca="1">IFERROR(_xlfn.IFS(B18/(MAX(1, 12*(YEAR(D18)-YEAR(C18)) + (MONTH(D18)-MONTH(C18)))) &gt;= 2, "Loyal",D18 &gt;= EDATE(TODAY(), -3), "Aktif",TRUE, "Pasif"),"Pasif")</f>
        <v>Aktif</v>
      </c>
      <c r="H18" s="10">
        <v>31750000</v>
      </c>
      <c r="I18" t="str" cm="1">
        <f t="array" ref="I18">_xlfn.IFS(H18&lt;5000000, "Bronze",H18&lt;10000000, "Silver",H18&lt;20000000, "Gold", H18&gt;=20000000, "Diamond")</f>
        <v>Diamond</v>
      </c>
    </row>
    <row r="19" spans="1:9" x14ac:dyDescent="0.3">
      <c r="A19" s="16" t="s">
        <v>28</v>
      </c>
      <c r="B19">
        <v>10</v>
      </c>
      <c r="C19" s="14">
        <v>45705</v>
      </c>
      <c r="D19" s="14">
        <v>45929</v>
      </c>
      <c r="E19">
        <f t="shared" ca="1" si="0"/>
        <v>2</v>
      </c>
      <c r="F19">
        <f t="shared" si="1"/>
        <v>1.4285714285714286</v>
      </c>
      <c r="G19" t="str" cm="1">
        <f t="array" aca="1" ref="G19" ca="1">IFERROR(_xlfn.IFS(B19/(MAX(1, 12*(YEAR(D19)-YEAR(C19)) + (MONTH(D19)-MONTH(C19)))) &gt;= 2, "Loyal",D19 &gt;= EDATE(TODAY(), -3), "Aktif",TRUE, "Pasif"),"Pasif")</f>
        <v>Aktif</v>
      </c>
      <c r="H19" s="10">
        <v>26900000</v>
      </c>
      <c r="I19" t="str" cm="1">
        <f t="array" ref="I19">_xlfn.IFS(H19&lt;5000000, "Bronze",H19&lt;10000000, "Silver",H19&lt;20000000, "Gold", H19&gt;=20000000, "Diamond")</f>
        <v>Diamond</v>
      </c>
    </row>
    <row r="20" spans="1:9" x14ac:dyDescent="0.3">
      <c r="A20" s="16" t="s">
        <v>50</v>
      </c>
      <c r="B20">
        <v>10</v>
      </c>
      <c r="C20" s="14">
        <v>45683</v>
      </c>
      <c r="D20" s="14">
        <v>45901</v>
      </c>
      <c r="E20">
        <f t="shared" ca="1" si="0"/>
        <v>2</v>
      </c>
      <c r="F20">
        <f t="shared" si="1"/>
        <v>1.25</v>
      </c>
      <c r="G20" t="str" cm="1">
        <f t="array" aca="1" ref="G20" ca="1">IFERROR(_xlfn.IFS(B20/(MAX(1, 12*(YEAR(D20)-YEAR(C20)) + (MONTH(D20)-MONTH(C20)))) &gt;= 2, "Loyal",D20 &gt;= EDATE(TODAY(), -3), "Aktif",TRUE, "Pasif"),"Pasif")</f>
        <v>Aktif</v>
      </c>
      <c r="H20" s="10">
        <v>39700000</v>
      </c>
      <c r="I20" t="str" cm="1">
        <f t="array" ref="I20">_xlfn.IFS(H20&lt;5000000, "Bronze",H20&lt;10000000, "Silver",H20&lt;20000000, "Gold", H20&gt;=20000000, "Diamond")</f>
        <v>Diamond</v>
      </c>
    </row>
    <row r="21" spans="1:9" x14ac:dyDescent="0.3">
      <c r="A21" s="16" t="s">
        <v>98</v>
      </c>
      <c r="B21">
        <v>11</v>
      </c>
      <c r="C21" s="14">
        <v>45689</v>
      </c>
      <c r="D21" s="14">
        <v>45910</v>
      </c>
      <c r="E21">
        <f t="shared" ca="1" si="0"/>
        <v>2</v>
      </c>
      <c r="F21">
        <f t="shared" si="1"/>
        <v>1.5714285714285714</v>
      </c>
      <c r="G21" t="str" cm="1">
        <f t="array" aca="1" ref="G21" ca="1">IFERROR(_xlfn.IFS(B21/(MAX(1, 12*(YEAR(D21)-YEAR(C21)) + (MONTH(D21)-MONTH(C21)))) &gt;= 2, "Loyal",D21 &gt;= EDATE(TODAY(), -3), "Aktif",TRUE, "Pasif"),"Pasif")</f>
        <v>Aktif</v>
      </c>
      <c r="H21" s="10">
        <v>36400000</v>
      </c>
      <c r="I21" t="str" cm="1">
        <f t="array" ref="I21">_xlfn.IFS(H21&lt;5000000, "Bronze",H21&lt;10000000, "Silver",H21&lt;20000000, "Gold", H21&gt;=20000000, "Diamond")</f>
        <v>Diamond</v>
      </c>
    </row>
    <row r="22" spans="1:9" x14ac:dyDescent="0.3">
      <c r="A22" s="16" t="s">
        <v>21</v>
      </c>
      <c r="B22">
        <v>12</v>
      </c>
      <c r="C22" s="14">
        <v>45676</v>
      </c>
      <c r="D22" s="14">
        <v>45916</v>
      </c>
      <c r="E22">
        <f t="shared" ca="1" si="0"/>
        <v>2</v>
      </c>
      <c r="F22">
        <f t="shared" si="1"/>
        <v>1.5</v>
      </c>
      <c r="G22" t="str" cm="1">
        <f t="array" aca="1" ref="G22" ca="1">IFERROR(_xlfn.IFS(B22/(MAX(1, 12*(YEAR(D22)-YEAR(C22)) + (MONTH(D22)-MONTH(C22)))) &gt;= 2, "Loyal",D22 &gt;= EDATE(TODAY(), -3), "Aktif",TRUE, "Pasif"),"Pasif")</f>
        <v>Aktif</v>
      </c>
      <c r="H22" s="10">
        <v>61950000</v>
      </c>
      <c r="I22" t="str" cm="1">
        <f t="array" ref="I22">_xlfn.IFS(H22&lt;5000000, "Bronze",H22&lt;10000000, "Silver",H22&lt;20000000, "Gold", H22&gt;=20000000, "Diamond")</f>
        <v>Diamond</v>
      </c>
    </row>
    <row r="23" spans="1:9" x14ac:dyDescent="0.3">
      <c r="A23" s="16" t="s">
        <v>62</v>
      </c>
      <c r="B23">
        <v>7</v>
      </c>
      <c r="C23" s="14">
        <v>45680</v>
      </c>
      <c r="D23" s="14">
        <v>45862</v>
      </c>
      <c r="E23">
        <f t="shared" ca="1" si="0"/>
        <v>4</v>
      </c>
      <c r="F23">
        <f t="shared" si="1"/>
        <v>1.1666666666666667</v>
      </c>
      <c r="G23" t="str" cm="1">
        <f t="array" aca="1" ref="G23" ca="1">IFERROR(_xlfn.IFS(B23/(MAX(1, 12*(YEAR(D23)-YEAR(C23)) + (MONTH(D23)-MONTH(C23)))) &gt;= 2, "Loyal",D23 &gt;= EDATE(TODAY(), -3), "Aktif",TRUE, "Pasif"),"Pasif")</f>
        <v>Pasif</v>
      </c>
      <c r="H23" s="10">
        <v>7850000</v>
      </c>
      <c r="I23" t="str" cm="1">
        <f t="array" ref="I23">_xlfn.IFS(H23&lt;5000000, "Bronze",H23&lt;10000000, "Silver",H23&lt;20000000, "Gold", H23&gt;=20000000, "Diamond")</f>
        <v>Silver</v>
      </c>
    </row>
    <row r="24" spans="1:9" x14ac:dyDescent="0.3">
      <c r="A24" s="16" t="s">
        <v>63</v>
      </c>
      <c r="B24">
        <v>8</v>
      </c>
      <c r="C24" s="14">
        <v>45743</v>
      </c>
      <c r="D24" s="14">
        <v>45920</v>
      </c>
      <c r="E24">
        <f t="shared" ca="1" si="0"/>
        <v>2</v>
      </c>
      <c r="F24">
        <f t="shared" si="1"/>
        <v>1.3333333333333333</v>
      </c>
      <c r="G24" t="str" cm="1">
        <f t="array" aca="1" ref="G24" ca="1">IFERROR(_xlfn.IFS(B24/(MAX(1, 12*(YEAR(D24)-YEAR(C24)) + (MONTH(D24)-MONTH(C24)))) &gt;= 2, "Loyal",D24 &gt;= EDATE(TODAY(), -3), "Aktif",TRUE, "Pasif"),"Pasif")</f>
        <v>Aktif</v>
      </c>
      <c r="H24" s="10">
        <v>15700000</v>
      </c>
      <c r="I24" t="str" cm="1">
        <f t="array" ref="I24">_xlfn.IFS(H24&lt;5000000, "Bronze",H24&lt;10000000, "Silver",H24&lt;20000000, "Gold", H24&gt;=20000000, "Diamond")</f>
        <v>Gold</v>
      </c>
    </row>
    <row r="25" spans="1:9" x14ac:dyDescent="0.3">
      <c r="A25" s="16" t="s">
        <v>39</v>
      </c>
      <c r="B25">
        <v>9</v>
      </c>
      <c r="C25" s="14">
        <v>45668</v>
      </c>
      <c r="D25" s="14">
        <v>45932</v>
      </c>
      <c r="E25">
        <f t="shared" ca="1" si="0"/>
        <v>1</v>
      </c>
      <c r="F25">
        <f t="shared" si="1"/>
        <v>1</v>
      </c>
      <c r="G25" t="str" cm="1">
        <f t="array" aca="1" ref="G25" ca="1">IFERROR(_xlfn.IFS(B25/(MAX(1, 12*(YEAR(D25)-YEAR(C25)) + (MONTH(D25)-MONTH(C25)))) &gt;= 2, "Loyal",D25 &gt;= EDATE(TODAY(), -3), "Aktif",TRUE, "Pasif"),"Pasif")</f>
        <v>Aktif</v>
      </c>
      <c r="H25" s="10">
        <v>50750000</v>
      </c>
      <c r="I25" t="str" cm="1">
        <f t="array" ref="I25">_xlfn.IFS(H25&lt;5000000, "Bronze",H25&lt;10000000, "Silver",H25&lt;20000000, "Gold", H25&gt;=20000000, "Diamond")</f>
        <v>Diamond</v>
      </c>
    </row>
    <row r="26" spans="1:9" x14ac:dyDescent="0.3">
      <c r="A26" s="16" t="s">
        <v>5</v>
      </c>
      <c r="B26">
        <v>8</v>
      </c>
      <c r="C26" s="14">
        <v>45665</v>
      </c>
      <c r="D26" s="14">
        <v>45887</v>
      </c>
      <c r="E26">
        <f t="shared" ca="1" si="0"/>
        <v>3</v>
      </c>
      <c r="F26">
        <f t="shared" si="1"/>
        <v>1.1428571428571428</v>
      </c>
      <c r="G26" t="str" cm="1">
        <f t="array" aca="1" ref="G26" ca="1">IFERROR(_xlfn.IFS(B26/(MAX(1, 12*(YEAR(D26)-YEAR(C26)) + (MONTH(D26)-MONTH(C26)))) &gt;= 2, "Loyal",D26 &gt;= EDATE(TODAY(), -3), "Aktif",TRUE, "Pasif"),"Pasif")</f>
        <v>Pasif</v>
      </c>
      <c r="H26" s="10">
        <v>42050000</v>
      </c>
      <c r="I26" t="str" cm="1">
        <f t="array" ref="I26">_xlfn.IFS(H26&lt;5000000, "Bronze",H26&lt;10000000, "Silver",H26&lt;20000000, "Gold", H26&gt;=20000000, "Diamond")</f>
        <v>Diamond</v>
      </c>
    </row>
    <row r="27" spans="1:9" x14ac:dyDescent="0.3">
      <c r="A27" s="16" t="s">
        <v>42</v>
      </c>
      <c r="B27">
        <v>12</v>
      </c>
      <c r="C27" s="14">
        <v>45677</v>
      </c>
      <c r="D27" s="14">
        <v>45930</v>
      </c>
      <c r="E27">
        <f t="shared" ca="1" si="0"/>
        <v>2</v>
      </c>
      <c r="F27">
        <f t="shared" si="1"/>
        <v>1.5</v>
      </c>
      <c r="G27" t="str" cm="1">
        <f t="array" aca="1" ref="G27" ca="1">IFERROR(_xlfn.IFS(B27/(MAX(1, 12*(YEAR(D27)-YEAR(C27)) + (MONTH(D27)-MONTH(C27)))) &gt;= 2, "Loyal",D27 &gt;= EDATE(TODAY(), -3), "Aktif",TRUE, "Pasif"),"Pasif")</f>
        <v>Aktif</v>
      </c>
      <c r="H27" s="10">
        <v>42100000</v>
      </c>
      <c r="I27" t="str" cm="1">
        <f t="array" ref="I27">_xlfn.IFS(H27&lt;5000000, "Bronze",H27&lt;10000000, "Silver",H27&lt;20000000, "Gold", H27&gt;=20000000, "Diamond")</f>
        <v>Diamond</v>
      </c>
    </row>
    <row r="28" spans="1:9" x14ac:dyDescent="0.3">
      <c r="A28" s="16" t="s">
        <v>57</v>
      </c>
      <c r="B28">
        <v>10</v>
      </c>
      <c r="C28" s="14">
        <v>45718</v>
      </c>
      <c r="D28" s="14">
        <v>45899</v>
      </c>
      <c r="E28">
        <f t="shared" ca="1" si="0"/>
        <v>3</v>
      </c>
      <c r="F28">
        <f t="shared" si="1"/>
        <v>2</v>
      </c>
      <c r="G28" t="str" cm="1">
        <f t="array" aca="1" ref="G28" ca="1">IFERROR(_xlfn.IFS(B28/(MAX(1, 12*(YEAR(D28)-YEAR(C28)) + (MONTH(D28)-MONTH(C28)))) &gt;= 2, "Loyal",D28 &gt;= EDATE(TODAY(), -3), "Aktif",TRUE, "Pasif"),"Pasif")</f>
        <v>Loyal</v>
      </c>
      <c r="H28" s="10">
        <v>30750000</v>
      </c>
      <c r="I28" t="str" cm="1">
        <f t="array" ref="I28">_xlfn.IFS(H28&lt;5000000, "Bronze",H28&lt;10000000, "Silver",H28&lt;20000000, "Gold", H28&gt;=20000000, "Diamond")</f>
        <v>Diamond</v>
      </c>
    </row>
    <row r="29" spans="1:9" x14ac:dyDescent="0.3">
      <c r="A29" s="16" t="s">
        <v>70</v>
      </c>
      <c r="B29">
        <v>8</v>
      </c>
      <c r="C29" s="14">
        <v>45665</v>
      </c>
      <c r="D29" s="14">
        <v>45921</v>
      </c>
      <c r="E29">
        <f t="shared" ca="1" si="0"/>
        <v>2</v>
      </c>
      <c r="F29">
        <f t="shared" si="1"/>
        <v>1</v>
      </c>
      <c r="G29" t="str" cm="1">
        <f t="array" aca="1" ref="G29" ca="1">IFERROR(_xlfn.IFS(B29/(MAX(1, 12*(YEAR(D29)-YEAR(C29)) + (MONTH(D29)-MONTH(C29)))) &gt;= 2, "Loyal",D29 &gt;= EDATE(TODAY(), -3), "Aktif",TRUE, "Pasif"),"Pasif")</f>
        <v>Aktif</v>
      </c>
      <c r="H29" s="10">
        <v>21600000</v>
      </c>
      <c r="I29" t="str" cm="1">
        <f t="array" ref="I29">_xlfn.IFS(H29&lt;5000000, "Bronze",H29&lt;10000000, "Silver",H29&lt;20000000, "Gold", H29&gt;=20000000, "Diamond")</f>
        <v>Diamond</v>
      </c>
    </row>
    <row r="30" spans="1:9" x14ac:dyDescent="0.3">
      <c r="A30" s="16" t="s">
        <v>93</v>
      </c>
      <c r="B30">
        <v>13</v>
      </c>
      <c r="C30" s="14">
        <v>45670</v>
      </c>
      <c r="D30" s="14">
        <v>45890</v>
      </c>
      <c r="E30">
        <f t="shared" ca="1" si="0"/>
        <v>3</v>
      </c>
      <c r="F30">
        <f t="shared" si="1"/>
        <v>1.8571428571428572</v>
      </c>
      <c r="G30" t="str" cm="1">
        <f t="array" aca="1" ref="G30" ca="1">IFERROR(_xlfn.IFS(B30/(MAX(1, 12*(YEAR(D30)-YEAR(C30)) + (MONTH(D30)-MONTH(C30)))) &gt;= 2, "Loyal",D30 &gt;= EDATE(TODAY(), -3), "Aktif",TRUE, "Pasif"),"Pasif")</f>
        <v>Aktif</v>
      </c>
      <c r="H30" s="10">
        <v>19400000</v>
      </c>
      <c r="I30" t="str" cm="1">
        <f t="array" ref="I30">_xlfn.IFS(H30&lt;5000000, "Bronze",H30&lt;10000000, "Silver",H30&lt;20000000, "Gold", H30&gt;=20000000, "Diamond")</f>
        <v>Gold</v>
      </c>
    </row>
    <row r="31" spans="1:9" x14ac:dyDescent="0.3">
      <c r="A31" s="16" t="s">
        <v>13</v>
      </c>
      <c r="B31">
        <v>8</v>
      </c>
      <c r="C31" s="14">
        <v>45660</v>
      </c>
      <c r="D31" s="14">
        <v>45889</v>
      </c>
      <c r="E31">
        <f t="shared" ca="1" si="0"/>
        <v>3</v>
      </c>
      <c r="F31">
        <f t="shared" si="1"/>
        <v>1.1428571428571428</v>
      </c>
      <c r="G31" t="str" cm="1">
        <f t="array" aca="1" ref="G31" ca="1">IFERROR(_xlfn.IFS(B31/(MAX(1, 12*(YEAR(D31)-YEAR(C31)) + (MONTH(D31)-MONTH(C31)))) &gt;= 2, "Loyal",D31 &gt;= EDATE(TODAY(), -3), "Aktif",TRUE, "Pasif"),"Pasif")</f>
        <v>Aktif</v>
      </c>
      <c r="H31" s="10">
        <v>46550000</v>
      </c>
      <c r="I31" t="str" cm="1">
        <f t="array" ref="I31">_xlfn.IFS(H31&lt;5000000, "Bronze",H31&lt;10000000, "Silver",H31&lt;20000000, "Gold", H31&gt;=20000000, "Diamond")</f>
        <v>Diamond</v>
      </c>
    </row>
    <row r="32" spans="1:9" x14ac:dyDescent="0.3">
      <c r="A32" s="16" t="s">
        <v>46</v>
      </c>
      <c r="B32">
        <v>13</v>
      </c>
      <c r="C32" s="14">
        <v>45667</v>
      </c>
      <c r="D32" s="14">
        <v>45928</v>
      </c>
      <c r="E32">
        <f t="shared" ca="1" si="0"/>
        <v>2</v>
      </c>
      <c r="F32">
        <f t="shared" si="1"/>
        <v>1.625</v>
      </c>
      <c r="G32" t="str" cm="1">
        <f t="array" aca="1" ref="G32" ca="1">IFERROR(_xlfn.IFS(B32/(MAX(1, 12*(YEAR(D32)-YEAR(C32)) + (MONTH(D32)-MONTH(C32)))) &gt;= 2, "Loyal",D32 &gt;= EDATE(TODAY(), -3), "Aktif",TRUE, "Pasif"),"Pasif")</f>
        <v>Aktif</v>
      </c>
      <c r="H32" s="10">
        <v>48550000</v>
      </c>
      <c r="I32" t="str" cm="1">
        <f t="array" ref="I32">_xlfn.IFS(H32&lt;5000000, "Bronze",H32&lt;10000000, "Silver",H32&lt;20000000, "Gold", H32&gt;=20000000, "Diamond")</f>
        <v>Diamond</v>
      </c>
    </row>
    <row r="33" spans="1:9" x14ac:dyDescent="0.3">
      <c r="A33" s="16" t="s">
        <v>48</v>
      </c>
      <c r="B33">
        <v>12</v>
      </c>
      <c r="C33" s="14">
        <v>45694</v>
      </c>
      <c r="D33" s="14">
        <v>45892</v>
      </c>
      <c r="E33">
        <f t="shared" ca="1" si="0"/>
        <v>3</v>
      </c>
      <c r="F33">
        <f t="shared" si="1"/>
        <v>2</v>
      </c>
      <c r="G33" t="str" cm="1">
        <f t="array" aca="1" ref="G33" ca="1">IFERROR(_xlfn.IFS(B33/(MAX(1, 12*(YEAR(D33)-YEAR(C33)) + (MONTH(D33)-MONTH(C33)))) &gt;= 2, "Loyal",D33 &gt;= EDATE(TODAY(), -3), "Aktif",TRUE, "Pasif"),"Pasif")</f>
        <v>Loyal</v>
      </c>
      <c r="H33" s="10">
        <v>41150000</v>
      </c>
      <c r="I33" t="str" cm="1">
        <f t="array" ref="I33">_xlfn.IFS(H33&lt;5000000, "Bronze",H33&lt;10000000, "Silver",H33&lt;20000000, "Gold", H33&gt;=20000000, "Diamond")</f>
        <v>Diamond</v>
      </c>
    </row>
    <row r="34" spans="1:9" x14ac:dyDescent="0.3">
      <c r="A34" s="16" t="s">
        <v>17</v>
      </c>
      <c r="B34">
        <v>15</v>
      </c>
      <c r="C34" s="14">
        <v>45668</v>
      </c>
      <c r="D34" s="14">
        <v>45930</v>
      </c>
      <c r="E34">
        <f t="shared" ca="1" si="0"/>
        <v>2</v>
      </c>
      <c r="F34">
        <f t="shared" si="1"/>
        <v>1.875</v>
      </c>
      <c r="G34" t="str" cm="1">
        <f t="array" aca="1" ref="G34" ca="1">IFERROR(_xlfn.IFS(B34/(MAX(1, 12*(YEAR(D34)-YEAR(C34)) + (MONTH(D34)-MONTH(C34)))) &gt;= 2, "Loyal",D34 &gt;= EDATE(TODAY(), -3), "Aktif",TRUE, "Pasif"),"Pasif")</f>
        <v>Aktif</v>
      </c>
      <c r="H34" s="10">
        <v>86000000</v>
      </c>
      <c r="I34" t="str" cm="1">
        <f t="array" ref="I34">_xlfn.IFS(H34&lt;5000000, "Bronze",H34&lt;10000000, "Silver",H34&lt;20000000, "Gold", H34&gt;=20000000, "Diamond")</f>
        <v>Diamond</v>
      </c>
    </row>
    <row r="35" spans="1:9" x14ac:dyDescent="0.3">
      <c r="A35" s="16" t="s">
        <v>100</v>
      </c>
      <c r="B35">
        <v>5</v>
      </c>
      <c r="C35" s="14">
        <v>45755</v>
      </c>
      <c r="D35" s="14">
        <v>45818</v>
      </c>
      <c r="E35">
        <f t="shared" ca="1" si="0"/>
        <v>5</v>
      </c>
      <c r="F35">
        <f t="shared" si="1"/>
        <v>2.5</v>
      </c>
      <c r="G35" t="str" cm="1">
        <f t="array" aca="1" ref="G35" ca="1">IFERROR(_xlfn.IFS(B35/(MAX(1, 12*(YEAR(D35)-YEAR(C35)) + (MONTH(D35)-MONTH(C35)))) &gt;= 2, "Loyal",D35 &gt;= EDATE(TODAY(), -3), "Aktif",TRUE, "Pasif"),"Pasif")</f>
        <v>Loyal</v>
      </c>
      <c r="H35" s="10">
        <v>40900000</v>
      </c>
      <c r="I35" t="str" cm="1">
        <f t="array" ref="I35">_xlfn.IFS(H35&lt;5000000, "Bronze",H35&lt;10000000, "Silver",H35&lt;20000000, "Gold", H35&gt;=20000000, "Diamond")</f>
        <v>Diamond</v>
      </c>
    </row>
    <row r="36" spans="1:9" x14ac:dyDescent="0.3">
      <c r="A36" s="16" t="s">
        <v>82</v>
      </c>
      <c r="B36">
        <v>10</v>
      </c>
      <c r="C36" s="14">
        <v>45676</v>
      </c>
      <c r="D36" s="14">
        <v>45893</v>
      </c>
      <c r="E36">
        <f t="shared" ca="1" si="0"/>
        <v>3</v>
      </c>
      <c r="F36">
        <f t="shared" si="1"/>
        <v>1.4285714285714286</v>
      </c>
      <c r="G36" t="str" cm="1">
        <f t="array" aca="1" ref="G36" ca="1">IFERROR(_xlfn.IFS(B36/(MAX(1, 12*(YEAR(D36)-YEAR(C36)) + (MONTH(D36)-MONTH(C36)))) &gt;= 2, "Loyal",D36 &gt;= EDATE(TODAY(), -3), "Aktif",TRUE, "Pasif"),"Pasif")</f>
        <v>Aktif</v>
      </c>
      <c r="H36" s="10">
        <v>63700000</v>
      </c>
      <c r="I36" t="str" cm="1">
        <f t="array" ref="I36">_xlfn.IFS(H36&lt;5000000, "Bronze",H36&lt;10000000, "Silver",H36&lt;20000000, "Gold", H36&gt;=20000000, "Diamond")</f>
        <v>Diamond</v>
      </c>
    </row>
    <row r="37" spans="1:9" x14ac:dyDescent="0.3">
      <c r="A37" s="16" t="s">
        <v>97</v>
      </c>
      <c r="B37">
        <v>12</v>
      </c>
      <c r="C37" s="14">
        <v>45692</v>
      </c>
      <c r="D37" s="14">
        <v>45902</v>
      </c>
      <c r="E37">
        <f t="shared" ca="1" si="0"/>
        <v>2</v>
      </c>
      <c r="F37">
        <f t="shared" si="1"/>
        <v>1.7142857142857142</v>
      </c>
      <c r="G37" t="str" cm="1">
        <f t="array" aca="1" ref="G37" ca="1">IFERROR(_xlfn.IFS(B37/(MAX(1, 12*(YEAR(D37)-YEAR(C37)) + (MONTH(D37)-MONTH(C37)))) &gt;= 2, "Loyal",D37 &gt;= EDATE(TODAY(), -3), "Aktif",TRUE, "Pasif"),"Pasif")</f>
        <v>Aktif</v>
      </c>
      <c r="H37" s="10">
        <v>52700000</v>
      </c>
      <c r="I37" t="str" cm="1">
        <f t="array" ref="I37">_xlfn.IFS(H37&lt;5000000, "Bronze",H37&lt;10000000, "Silver",H37&lt;20000000, "Gold", H37&gt;=20000000, "Diamond")</f>
        <v>Diamond</v>
      </c>
    </row>
    <row r="38" spans="1:9" x14ac:dyDescent="0.3">
      <c r="A38" s="16" t="s">
        <v>71</v>
      </c>
      <c r="B38">
        <v>6</v>
      </c>
      <c r="C38" s="14">
        <v>45712</v>
      </c>
      <c r="D38" s="14">
        <v>45914</v>
      </c>
      <c r="E38">
        <f t="shared" ca="1" si="0"/>
        <v>2</v>
      </c>
      <c r="F38">
        <f t="shared" si="1"/>
        <v>0.8571428571428571</v>
      </c>
      <c r="G38" t="str" cm="1">
        <f t="array" aca="1" ref="G38" ca="1">IFERROR(_xlfn.IFS(B38/(MAX(1, 12*(YEAR(D38)-YEAR(C38)) + (MONTH(D38)-MONTH(C38)))) &gt;= 2, "Loyal",D38 &gt;= EDATE(TODAY(), -3), "Aktif",TRUE, "Pasif"),"Pasif")</f>
        <v>Aktif</v>
      </c>
      <c r="H38" s="10">
        <v>15200000</v>
      </c>
      <c r="I38" t="str" cm="1">
        <f t="array" ref="I38">_xlfn.IFS(H38&lt;5000000, "Bronze",H38&lt;10000000, "Silver",H38&lt;20000000, "Gold", H38&gt;=20000000, "Diamond")</f>
        <v>Gold</v>
      </c>
    </row>
    <row r="39" spans="1:9" x14ac:dyDescent="0.3">
      <c r="A39" s="16" t="s">
        <v>102</v>
      </c>
      <c r="B39">
        <v>8</v>
      </c>
      <c r="C39" s="14">
        <v>45713</v>
      </c>
      <c r="D39" s="14">
        <v>45822</v>
      </c>
      <c r="E39">
        <f t="shared" ca="1" si="0"/>
        <v>5</v>
      </c>
      <c r="F39">
        <f t="shared" si="1"/>
        <v>2</v>
      </c>
      <c r="G39" t="str" cm="1">
        <f t="array" aca="1" ref="G39" ca="1">IFERROR(_xlfn.IFS(B39/(MAX(1, 12*(YEAR(D39)-YEAR(C39)) + (MONTH(D39)-MONTH(C39)))) &gt;= 2, "Loyal",D39 &gt;= EDATE(TODAY(), -3), "Aktif",TRUE, "Pasif"),"Pasif")</f>
        <v>Loyal</v>
      </c>
      <c r="H39" s="10">
        <v>55750000</v>
      </c>
      <c r="I39" t="str" cm="1">
        <f t="array" ref="I39">_xlfn.IFS(H39&lt;5000000, "Bronze",H39&lt;10000000, "Silver",H39&lt;20000000, "Gold", H39&gt;=20000000, "Diamond")</f>
        <v>Diamond</v>
      </c>
    </row>
    <row r="40" spans="1:9" x14ac:dyDescent="0.3">
      <c r="A40" s="16" t="s">
        <v>20</v>
      </c>
      <c r="B40">
        <v>12</v>
      </c>
      <c r="C40" s="14">
        <v>45684</v>
      </c>
      <c r="D40" s="14">
        <v>45931</v>
      </c>
      <c r="E40">
        <f t="shared" ca="1" si="0"/>
        <v>1</v>
      </c>
      <c r="F40">
        <f t="shared" si="1"/>
        <v>1.3333333333333333</v>
      </c>
      <c r="G40" t="str" cm="1">
        <f t="array" aca="1" ref="G40" ca="1">IFERROR(_xlfn.IFS(B40/(MAX(1, 12*(YEAR(D40)-YEAR(C40)) + (MONTH(D40)-MONTH(C40)))) &gt;= 2, "Loyal",D40 &gt;= EDATE(TODAY(), -3), "Aktif",TRUE, "Pasif"),"Pasif")</f>
        <v>Aktif</v>
      </c>
      <c r="H40" s="10">
        <v>25800000</v>
      </c>
      <c r="I40" t="str" cm="1">
        <f t="array" ref="I40">_xlfn.IFS(H40&lt;5000000, "Bronze",H40&lt;10000000, "Silver",H40&lt;20000000, "Gold", H40&gt;=20000000, "Diamond")</f>
        <v>Diamond</v>
      </c>
    </row>
    <row r="41" spans="1:9" x14ac:dyDescent="0.3">
      <c r="A41" s="16" t="s">
        <v>34</v>
      </c>
      <c r="B41">
        <v>17</v>
      </c>
      <c r="C41" s="14">
        <v>45660</v>
      </c>
      <c r="D41" s="14">
        <v>45912</v>
      </c>
      <c r="E41">
        <f t="shared" ca="1" si="0"/>
        <v>2</v>
      </c>
      <c r="F41">
        <f t="shared" si="1"/>
        <v>2.125</v>
      </c>
      <c r="G41" t="str" cm="1">
        <f t="array" aca="1" ref="G41" ca="1">IFERROR(_xlfn.IFS(B41/(MAX(1, 12*(YEAR(D41)-YEAR(C41)) + (MONTH(D41)-MONTH(C41)))) &gt;= 2, "Loyal",D41 &gt;= EDATE(TODAY(), -3), "Aktif",TRUE, "Pasif"),"Pasif")</f>
        <v>Loyal</v>
      </c>
      <c r="H41" s="10">
        <v>18400000</v>
      </c>
      <c r="I41" t="str" cm="1">
        <f t="array" ref="I41">_xlfn.IFS(H41&lt;5000000, "Bronze",H41&lt;10000000, "Silver",H41&lt;20000000, "Gold", H41&gt;=20000000, "Diamond")</f>
        <v>Gold</v>
      </c>
    </row>
    <row r="42" spans="1:9" x14ac:dyDescent="0.3">
      <c r="A42" s="16" t="s">
        <v>22</v>
      </c>
      <c r="B42">
        <v>12</v>
      </c>
      <c r="C42" s="14">
        <v>45674</v>
      </c>
      <c r="D42" s="14">
        <v>45913</v>
      </c>
      <c r="E42">
        <f t="shared" ca="1" si="0"/>
        <v>2</v>
      </c>
      <c r="F42">
        <f t="shared" si="1"/>
        <v>1.5</v>
      </c>
      <c r="G42" t="str" cm="1">
        <f t="array" aca="1" ref="G42" ca="1">IFERROR(_xlfn.IFS(B42/(MAX(1, 12*(YEAR(D42)-YEAR(C42)) + (MONTH(D42)-MONTH(C42)))) &gt;= 2, "Loyal",D42 &gt;= EDATE(TODAY(), -3), "Aktif",TRUE, "Pasif"),"Pasif")</f>
        <v>Aktif</v>
      </c>
      <c r="H42" s="10">
        <v>67900000</v>
      </c>
      <c r="I42" t="str" cm="1">
        <f t="array" ref="I42">_xlfn.IFS(H42&lt;5000000, "Bronze",H42&lt;10000000, "Silver",H42&lt;20000000, "Gold", H42&gt;=20000000, "Diamond")</f>
        <v>Diamond</v>
      </c>
    </row>
    <row r="43" spans="1:9" x14ac:dyDescent="0.3">
      <c r="A43" s="16" t="s">
        <v>32</v>
      </c>
      <c r="B43">
        <v>9</v>
      </c>
      <c r="C43" s="14">
        <v>45671</v>
      </c>
      <c r="D43" s="14">
        <v>45932</v>
      </c>
      <c r="E43">
        <f t="shared" ca="1" si="0"/>
        <v>1</v>
      </c>
      <c r="F43">
        <f t="shared" si="1"/>
        <v>1</v>
      </c>
      <c r="G43" t="str" cm="1">
        <f t="array" aca="1" ref="G43" ca="1">IFERROR(_xlfn.IFS(B43/(MAX(1, 12*(YEAR(D43)-YEAR(C43)) + (MONTH(D43)-MONTH(C43)))) &gt;= 2, "Loyal",D43 &gt;= EDATE(TODAY(), -3), "Aktif",TRUE, "Pasif"),"Pasif")</f>
        <v>Aktif</v>
      </c>
      <c r="H43" s="10">
        <v>23800000</v>
      </c>
      <c r="I43" t="str" cm="1">
        <f t="array" ref="I43">_xlfn.IFS(H43&lt;5000000, "Bronze",H43&lt;10000000, "Silver",H43&lt;20000000, "Gold", H43&gt;=20000000, "Diamond")</f>
        <v>Diamond</v>
      </c>
    </row>
    <row r="44" spans="1:9" x14ac:dyDescent="0.3">
      <c r="A44" s="16" t="s">
        <v>81</v>
      </c>
      <c r="B44">
        <v>13</v>
      </c>
      <c r="C44" s="14">
        <v>45720</v>
      </c>
      <c r="D44" s="14">
        <v>45923</v>
      </c>
      <c r="E44">
        <f t="shared" ca="1" si="0"/>
        <v>2</v>
      </c>
      <c r="F44">
        <f t="shared" si="1"/>
        <v>2.1666666666666665</v>
      </c>
      <c r="G44" t="str" cm="1">
        <f t="array" aca="1" ref="G44" ca="1">IFERROR(_xlfn.IFS(B44/(MAX(1, 12*(YEAR(D44)-YEAR(C44)) + (MONTH(D44)-MONTH(C44)))) &gt;= 2, "Loyal",D44 &gt;= EDATE(TODAY(), -3), "Aktif",TRUE, "Pasif"),"Pasif")</f>
        <v>Loyal</v>
      </c>
      <c r="H44" s="10">
        <v>86000000</v>
      </c>
      <c r="I44" t="str" cm="1">
        <f t="array" ref="I44">_xlfn.IFS(H44&lt;5000000, "Bronze",H44&lt;10000000, "Silver",H44&lt;20000000, "Gold", H44&gt;=20000000, "Diamond")</f>
        <v>Diamond</v>
      </c>
    </row>
    <row r="45" spans="1:9" x14ac:dyDescent="0.3">
      <c r="A45" s="16" t="s">
        <v>104</v>
      </c>
      <c r="B45">
        <v>10</v>
      </c>
      <c r="C45" s="14">
        <v>45696</v>
      </c>
      <c r="D45" s="14">
        <v>45930</v>
      </c>
      <c r="E45">
        <f t="shared" ca="1" si="0"/>
        <v>2</v>
      </c>
      <c r="F45">
        <f t="shared" si="1"/>
        <v>1.4285714285714286</v>
      </c>
      <c r="G45" t="str" cm="1">
        <f t="array" aca="1" ref="G45" ca="1">IFERROR(_xlfn.IFS(B45/(MAX(1, 12*(YEAR(D45)-YEAR(C45)) + (MONTH(D45)-MONTH(C45)))) &gt;= 2, "Loyal",D45 &gt;= EDATE(TODAY(), -3), "Aktif",TRUE, "Pasif"),"Pasif")</f>
        <v>Aktif</v>
      </c>
      <c r="H45" s="10">
        <v>22000000</v>
      </c>
      <c r="I45" t="str" cm="1">
        <f t="array" ref="I45">_xlfn.IFS(H45&lt;5000000, "Bronze",H45&lt;10000000, "Silver",H45&lt;20000000, "Gold", H45&gt;=20000000, "Diamond")</f>
        <v>Diamond</v>
      </c>
    </row>
    <row r="46" spans="1:9" x14ac:dyDescent="0.3">
      <c r="A46" s="16" t="s">
        <v>31</v>
      </c>
      <c r="B46">
        <v>16</v>
      </c>
      <c r="C46" s="14">
        <v>45662</v>
      </c>
      <c r="D46" s="14">
        <v>45915</v>
      </c>
      <c r="E46">
        <f t="shared" ca="1" si="0"/>
        <v>2</v>
      </c>
      <c r="F46">
        <f t="shared" si="1"/>
        <v>2</v>
      </c>
      <c r="G46" t="str" cm="1">
        <f t="array" aca="1" ref="G46" ca="1">IFERROR(_xlfn.IFS(B46/(MAX(1, 12*(YEAR(D46)-YEAR(C46)) + (MONTH(D46)-MONTH(C46)))) &gt;= 2, "Loyal",D46 &gt;= EDATE(TODAY(), -3), "Aktif",TRUE, "Pasif"),"Pasif")</f>
        <v>Loyal</v>
      </c>
      <c r="H46" s="10">
        <v>73400000</v>
      </c>
      <c r="I46" t="str" cm="1">
        <f t="array" ref="I46">_xlfn.IFS(H46&lt;5000000, "Bronze",H46&lt;10000000, "Silver",H46&lt;20000000, "Gold", H46&gt;=20000000, "Diamond")</f>
        <v>Diamond</v>
      </c>
    </row>
    <row r="47" spans="1:9" x14ac:dyDescent="0.3">
      <c r="A47" s="16" t="s">
        <v>45</v>
      </c>
      <c r="B47">
        <v>10</v>
      </c>
      <c r="C47" s="14">
        <v>45661</v>
      </c>
      <c r="D47" s="14">
        <v>45923</v>
      </c>
      <c r="E47">
        <f t="shared" ca="1" si="0"/>
        <v>2</v>
      </c>
      <c r="F47">
        <f t="shared" si="1"/>
        <v>1.25</v>
      </c>
      <c r="G47" t="str" cm="1">
        <f t="array" aca="1" ref="G47" ca="1">IFERROR(_xlfn.IFS(B47/(MAX(1, 12*(YEAR(D47)-YEAR(C47)) + (MONTH(D47)-MONTH(C47)))) &gt;= 2, "Loyal",D47 &gt;= EDATE(TODAY(), -3), "Aktif",TRUE, "Pasif"),"Pasif")</f>
        <v>Aktif</v>
      </c>
      <c r="H47" s="10">
        <v>42850000</v>
      </c>
      <c r="I47" t="str" cm="1">
        <f t="array" ref="I47">_xlfn.IFS(H47&lt;5000000, "Bronze",H47&lt;10000000, "Silver",H47&lt;20000000, "Gold", H47&gt;=20000000, "Diamond")</f>
        <v>Diamond</v>
      </c>
    </row>
    <row r="48" spans="1:9" x14ac:dyDescent="0.3">
      <c r="A48" s="16" t="s">
        <v>43</v>
      </c>
      <c r="B48">
        <v>8</v>
      </c>
      <c r="C48" s="14">
        <v>45708</v>
      </c>
      <c r="D48" s="14">
        <v>45920</v>
      </c>
      <c r="E48">
        <f t="shared" ca="1" si="0"/>
        <v>2</v>
      </c>
      <c r="F48">
        <f t="shared" si="1"/>
        <v>1.1428571428571428</v>
      </c>
      <c r="G48" t="str" cm="1">
        <f t="array" aca="1" ref="G48" ca="1">IFERROR(_xlfn.IFS(B48/(MAX(1, 12*(YEAR(D48)-YEAR(C48)) + (MONTH(D48)-MONTH(C48)))) &gt;= 2, "Loyal",D48 &gt;= EDATE(TODAY(), -3), "Aktif",TRUE, "Pasif"),"Pasif")</f>
        <v>Aktif</v>
      </c>
      <c r="H48" s="10">
        <v>32400000</v>
      </c>
      <c r="I48" t="str" cm="1">
        <f t="array" ref="I48">_xlfn.IFS(H48&lt;5000000, "Bronze",H48&lt;10000000, "Silver",H48&lt;20000000, "Gold", H48&gt;=20000000, "Diamond")</f>
        <v>Diamond</v>
      </c>
    </row>
    <row r="49" spans="1:9" x14ac:dyDescent="0.3">
      <c r="A49" s="16" t="s">
        <v>86</v>
      </c>
      <c r="B49">
        <v>10</v>
      </c>
      <c r="C49" s="14">
        <v>45676</v>
      </c>
      <c r="D49" s="14">
        <v>45910</v>
      </c>
      <c r="E49">
        <f t="shared" ca="1" si="0"/>
        <v>2</v>
      </c>
      <c r="F49">
        <f t="shared" si="1"/>
        <v>1.25</v>
      </c>
      <c r="G49" t="str" cm="1">
        <f t="array" aca="1" ref="G49" ca="1">IFERROR(_xlfn.IFS(B49/(MAX(1, 12*(YEAR(D49)-YEAR(C49)) + (MONTH(D49)-MONTH(C49)))) &gt;= 2, "Loyal",D49 &gt;= EDATE(TODAY(), -3), "Aktif",TRUE, "Pasif"),"Pasif")</f>
        <v>Aktif</v>
      </c>
      <c r="H49" s="10">
        <v>50500000</v>
      </c>
      <c r="I49" t="str" cm="1">
        <f t="array" ref="I49">_xlfn.IFS(H49&lt;5000000, "Bronze",H49&lt;10000000, "Silver",H49&lt;20000000, "Gold", H49&gt;=20000000, "Diamond")</f>
        <v>Diamond</v>
      </c>
    </row>
    <row r="50" spans="1:9" x14ac:dyDescent="0.3">
      <c r="A50" s="16" t="s">
        <v>68</v>
      </c>
      <c r="B50">
        <v>7</v>
      </c>
      <c r="C50" s="14">
        <v>45675</v>
      </c>
      <c r="D50" s="14">
        <v>45863</v>
      </c>
      <c r="E50">
        <f t="shared" ca="1" si="0"/>
        <v>4</v>
      </c>
      <c r="F50">
        <f t="shared" si="1"/>
        <v>1.1666666666666667</v>
      </c>
      <c r="G50" t="str" cm="1">
        <f t="array" aca="1" ref="G50" ca="1">IFERROR(_xlfn.IFS(B50/(MAX(1, 12*(YEAR(D50)-YEAR(C50)) + (MONTH(D50)-MONTH(C50)))) &gt;= 2, "Loyal",D50 &gt;= EDATE(TODAY(), -3), "Aktif",TRUE, "Pasif"),"Pasif")</f>
        <v>Pasif</v>
      </c>
      <c r="H50" s="10">
        <v>24500000</v>
      </c>
      <c r="I50" t="str" cm="1">
        <f t="array" ref="I50">_xlfn.IFS(H50&lt;5000000, "Bronze",H50&lt;10000000, "Silver",H50&lt;20000000, "Gold", H50&gt;=20000000, "Diamond")</f>
        <v>Diamond</v>
      </c>
    </row>
    <row r="51" spans="1:9" x14ac:dyDescent="0.3">
      <c r="A51" s="16" t="s">
        <v>40</v>
      </c>
      <c r="B51">
        <v>13</v>
      </c>
      <c r="C51" s="14">
        <v>45670</v>
      </c>
      <c r="D51" s="14">
        <v>45914</v>
      </c>
      <c r="E51">
        <f t="shared" ca="1" si="0"/>
        <v>2</v>
      </c>
      <c r="F51">
        <f t="shared" si="1"/>
        <v>1.625</v>
      </c>
      <c r="G51" t="str" cm="1">
        <f t="array" aca="1" ref="G51" ca="1">IFERROR(_xlfn.IFS(B51/(MAX(1, 12*(YEAR(D51)-YEAR(C51)) + (MONTH(D51)-MONTH(C51)))) &gt;= 2, "Loyal",D51 &gt;= EDATE(TODAY(), -3), "Aktif",TRUE, "Pasif"),"Pasif")</f>
        <v>Aktif</v>
      </c>
      <c r="H51" s="10">
        <v>45950000</v>
      </c>
      <c r="I51" t="str" cm="1">
        <f t="array" ref="I51">_xlfn.IFS(H51&lt;5000000, "Bronze",H51&lt;10000000, "Silver",H51&lt;20000000, "Gold", H51&gt;=20000000, "Diamond")</f>
        <v>Diamond</v>
      </c>
    </row>
    <row r="52" spans="1:9" x14ac:dyDescent="0.3">
      <c r="A52" s="16" t="s">
        <v>49</v>
      </c>
      <c r="B52">
        <v>6</v>
      </c>
      <c r="C52" s="14">
        <v>45719</v>
      </c>
      <c r="D52" s="14">
        <v>45920</v>
      </c>
      <c r="E52">
        <f t="shared" ca="1" si="0"/>
        <v>2</v>
      </c>
      <c r="F52">
        <f t="shared" si="1"/>
        <v>1</v>
      </c>
      <c r="G52" t="str" cm="1">
        <f t="array" aca="1" ref="G52" ca="1">IFERROR(_xlfn.IFS(B52/(MAX(1, 12*(YEAR(D52)-YEAR(C52)) + (MONTH(D52)-MONTH(C52)))) &gt;= 2, "Loyal",D52 &gt;= EDATE(TODAY(), -3), "Aktif",TRUE, "Pasif"),"Pasif")</f>
        <v>Aktif</v>
      </c>
      <c r="H52" s="10">
        <v>3050000</v>
      </c>
      <c r="I52" t="str" cm="1">
        <f t="array" ref="I52">_xlfn.IFS(H52&lt;5000000, "Bronze",H52&lt;10000000, "Silver",H52&lt;20000000, "Gold", H52&gt;=20000000, "Diamond")</f>
        <v>Bronze</v>
      </c>
    </row>
    <row r="53" spans="1:9" x14ac:dyDescent="0.3">
      <c r="A53" s="16" t="s">
        <v>23</v>
      </c>
      <c r="B53">
        <v>13</v>
      </c>
      <c r="C53" s="14">
        <v>45667</v>
      </c>
      <c r="D53" s="14">
        <v>45922</v>
      </c>
      <c r="E53">
        <f t="shared" ca="1" si="0"/>
        <v>2</v>
      </c>
      <c r="F53">
        <f t="shared" si="1"/>
        <v>1.625</v>
      </c>
      <c r="G53" t="str" cm="1">
        <f t="array" aca="1" ref="G53" ca="1">IFERROR(_xlfn.IFS(B53/(MAX(1, 12*(YEAR(D53)-YEAR(C53)) + (MONTH(D53)-MONTH(C53)))) &gt;= 2, "Loyal",D53 &gt;= EDATE(TODAY(), -3), "Aktif",TRUE, "Pasif"),"Pasif")</f>
        <v>Aktif</v>
      </c>
      <c r="H53" s="10">
        <v>55250000</v>
      </c>
      <c r="I53" t="str" cm="1">
        <f t="array" ref="I53">_xlfn.IFS(H53&lt;5000000, "Bronze",H53&lt;10000000, "Silver",H53&lt;20000000, "Gold", H53&gt;=20000000, "Diamond")</f>
        <v>Diamond</v>
      </c>
    </row>
    <row r="54" spans="1:9" x14ac:dyDescent="0.3">
      <c r="A54" s="16" t="s">
        <v>61</v>
      </c>
      <c r="B54">
        <v>7</v>
      </c>
      <c r="C54" s="14">
        <v>45662</v>
      </c>
      <c r="D54" s="14">
        <v>45795</v>
      </c>
      <c r="E54">
        <f t="shared" ca="1" si="0"/>
        <v>6</v>
      </c>
      <c r="F54">
        <f t="shared" si="1"/>
        <v>1.75</v>
      </c>
      <c r="G54" t="str" cm="1">
        <f t="array" aca="1" ref="G54" ca="1">IFERROR(_xlfn.IFS(B54/(MAX(1, 12*(YEAR(D54)-YEAR(C54)) + (MONTH(D54)-MONTH(C54)))) &gt;= 2, "Loyal",D54 &gt;= EDATE(TODAY(), -3), "Aktif",TRUE, "Pasif"),"Pasif")</f>
        <v>Pasif</v>
      </c>
      <c r="H54" s="10">
        <v>30650000</v>
      </c>
      <c r="I54" t="str" cm="1">
        <f t="array" ref="I54">_xlfn.IFS(H54&lt;5000000, "Bronze",H54&lt;10000000, "Silver",H54&lt;20000000, "Gold", H54&gt;=20000000, "Diamond")</f>
        <v>Diamond</v>
      </c>
    </row>
    <row r="55" spans="1:9" x14ac:dyDescent="0.3">
      <c r="A55" s="16" t="s">
        <v>58</v>
      </c>
      <c r="B55">
        <v>7</v>
      </c>
      <c r="C55" s="14">
        <v>45679</v>
      </c>
      <c r="D55" s="14">
        <v>45921</v>
      </c>
      <c r="E55">
        <f t="shared" ca="1" si="0"/>
        <v>2</v>
      </c>
      <c r="F55">
        <f t="shared" si="1"/>
        <v>0.875</v>
      </c>
      <c r="G55" t="str" cm="1">
        <f t="array" aca="1" ref="G55" ca="1">IFERROR(_xlfn.IFS(B55/(MAX(1, 12*(YEAR(D55)-YEAR(C55)) + (MONTH(D55)-MONTH(C55)))) &gt;= 2, "Loyal",D55 &gt;= EDATE(TODAY(), -3), "Aktif",TRUE, "Pasif"),"Pasif")</f>
        <v>Aktif</v>
      </c>
      <c r="H55" s="10">
        <v>12000000</v>
      </c>
      <c r="I55" t="str" cm="1">
        <f t="array" ref="I55">_xlfn.IFS(H55&lt;5000000, "Bronze",H55&lt;10000000, "Silver",H55&lt;20000000, "Gold", H55&gt;=20000000, "Diamond")</f>
        <v>Gold</v>
      </c>
    </row>
    <row r="56" spans="1:9" x14ac:dyDescent="0.3">
      <c r="A56" s="16" t="s">
        <v>94</v>
      </c>
      <c r="B56">
        <v>12</v>
      </c>
      <c r="C56" s="14">
        <v>45695</v>
      </c>
      <c r="D56" s="14">
        <v>45923</v>
      </c>
      <c r="E56">
        <f t="shared" ca="1" si="0"/>
        <v>2</v>
      </c>
      <c r="F56">
        <f t="shared" si="1"/>
        <v>1.7142857142857142</v>
      </c>
      <c r="G56" t="str" cm="1">
        <f t="array" aca="1" ref="G56" ca="1">IFERROR(_xlfn.IFS(B56/(MAX(1, 12*(YEAR(D56)-YEAR(C56)) + (MONTH(D56)-MONTH(C56)))) &gt;= 2, "Loyal",D56 &gt;= EDATE(TODAY(), -3), "Aktif",TRUE, "Pasif"),"Pasif")</f>
        <v>Aktif</v>
      </c>
      <c r="H56" s="10">
        <v>26650000</v>
      </c>
      <c r="I56" t="str" cm="1">
        <f t="array" ref="I56">_xlfn.IFS(H56&lt;5000000, "Bronze",H56&lt;10000000, "Silver",H56&lt;20000000, "Gold", H56&gt;=20000000, "Diamond")</f>
        <v>Diamond</v>
      </c>
    </row>
    <row r="57" spans="1:9" x14ac:dyDescent="0.3">
      <c r="A57" s="16" t="s">
        <v>96</v>
      </c>
      <c r="B57">
        <v>5</v>
      </c>
      <c r="C57" s="14">
        <v>45670</v>
      </c>
      <c r="D57" s="14">
        <v>45872</v>
      </c>
      <c r="E57">
        <f t="shared" ca="1" si="0"/>
        <v>3</v>
      </c>
      <c r="F57">
        <f t="shared" si="1"/>
        <v>0.7142857142857143</v>
      </c>
      <c r="G57" t="str" cm="1">
        <f t="array" aca="1" ref="G57" ca="1">IFERROR(_xlfn.IFS(B57/(MAX(1, 12*(YEAR(D57)-YEAR(C57)) + (MONTH(D57)-MONTH(C57)))) &gt;= 2, "Loyal",D57 &gt;= EDATE(TODAY(), -3), "Aktif",TRUE, "Pasif"),"Pasif")</f>
        <v>Pasif</v>
      </c>
      <c r="H57" s="10">
        <v>24200000</v>
      </c>
      <c r="I57" t="str" cm="1">
        <f t="array" ref="I57">_xlfn.IFS(H57&lt;5000000, "Bronze",H57&lt;10000000, "Silver",H57&lt;20000000, "Gold", H57&gt;=20000000, "Diamond")</f>
        <v>Diamond</v>
      </c>
    </row>
    <row r="58" spans="1:9" x14ac:dyDescent="0.3">
      <c r="A58" s="16" t="s">
        <v>65</v>
      </c>
      <c r="B58">
        <v>10</v>
      </c>
      <c r="C58" s="14">
        <v>45706</v>
      </c>
      <c r="D58" s="14">
        <v>45922</v>
      </c>
      <c r="E58">
        <f t="shared" ca="1" si="0"/>
        <v>2</v>
      </c>
      <c r="F58">
        <f t="shared" si="1"/>
        <v>1.4285714285714286</v>
      </c>
      <c r="G58" t="str" cm="1">
        <f t="array" aca="1" ref="G58" ca="1">IFERROR(_xlfn.IFS(B58/(MAX(1, 12*(YEAR(D58)-YEAR(C58)) + (MONTH(D58)-MONTH(C58)))) &gt;= 2, "Loyal",D58 &gt;= EDATE(TODAY(), -3), "Aktif",TRUE, "Pasif"),"Pasif")</f>
        <v>Aktif</v>
      </c>
      <c r="H58" s="10">
        <v>40750000</v>
      </c>
      <c r="I58" t="str" cm="1">
        <f t="array" ref="I58">_xlfn.IFS(H58&lt;5000000, "Bronze",H58&lt;10000000, "Silver",H58&lt;20000000, "Gold", H58&gt;=20000000, "Diamond")</f>
        <v>Diamond</v>
      </c>
    </row>
    <row r="59" spans="1:9" x14ac:dyDescent="0.3">
      <c r="A59" s="16" t="s">
        <v>33</v>
      </c>
      <c r="B59">
        <v>11</v>
      </c>
      <c r="C59" s="14">
        <v>45673</v>
      </c>
      <c r="D59" s="14">
        <v>45926</v>
      </c>
      <c r="E59">
        <f t="shared" ca="1" si="0"/>
        <v>2</v>
      </c>
      <c r="F59">
        <f t="shared" si="1"/>
        <v>1.375</v>
      </c>
      <c r="G59" t="str" cm="1">
        <f t="array" aca="1" ref="G59" ca="1">IFERROR(_xlfn.IFS(B59/(MAX(1, 12*(YEAR(D59)-YEAR(C59)) + (MONTH(D59)-MONTH(C59)))) &gt;= 2, "Loyal",D59 &gt;= EDATE(TODAY(), -3), "Aktif",TRUE, "Pasif"),"Pasif")</f>
        <v>Aktif</v>
      </c>
      <c r="H59" s="10">
        <v>56850000</v>
      </c>
      <c r="I59" t="str" cm="1">
        <f t="array" ref="I59">_xlfn.IFS(H59&lt;5000000, "Bronze",H59&lt;10000000, "Silver",H59&lt;20000000, "Gold", H59&gt;=20000000, "Diamond")</f>
        <v>Diamond</v>
      </c>
    </row>
    <row r="60" spans="1:9" x14ac:dyDescent="0.3">
      <c r="A60" s="16" t="s">
        <v>90</v>
      </c>
      <c r="B60">
        <v>9</v>
      </c>
      <c r="C60" s="14">
        <v>45678</v>
      </c>
      <c r="D60" s="14">
        <v>45896</v>
      </c>
      <c r="E60">
        <f t="shared" ca="1" si="0"/>
        <v>3</v>
      </c>
      <c r="F60">
        <f t="shared" si="1"/>
        <v>1.2857142857142858</v>
      </c>
      <c r="G60" t="str" cm="1">
        <f t="array" aca="1" ref="G60" ca="1">IFERROR(_xlfn.IFS(B60/(MAX(1, 12*(YEAR(D60)-YEAR(C60)) + (MONTH(D60)-MONTH(C60)))) &gt;= 2, "Loyal",D60 &gt;= EDATE(TODAY(), -3), "Aktif",TRUE, "Pasif"),"Pasif")</f>
        <v>Aktif</v>
      </c>
      <c r="H60" s="10">
        <v>52300000</v>
      </c>
      <c r="I60" t="str" cm="1">
        <f t="array" ref="I60">_xlfn.IFS(H60&lt;5000000, "Bronze",H60&lt;10000000, "Silver",H60&lt;20000000, "Gold", H60&gt;=20000000, "Diamond")</f>
        <v>Diamond</v>
      </c>
    </row>
    <row r="61" spans="1:9" x14ac:dyDescent="0.3">
      <c r="A61" s="16" t="s">
        <v>38</v>
      </c>
      <c r="B61">
        <v>9</v>
      </c>
      <c r="C61" s="14">
        <v>45672</v>
      </c>
      <c r="D61" s="14">
        <v>45858</v>
      </c>
      <c r="E61">
        <f t="shared" ca="1" si="0"/>
        <v>4</v>
      </c>
      <c r="F61">
        <f t="shared" si="1"/>
        <v>1.5</v>
      </c>
      <c r="G61" t="str" cm="1">
        <f t="array" aca="1" ref="G61" ca="1">IFERROR(_xlfn.IFS(B61/(MAX(1, 12*(YEAR(D61)-YEAR(C61)) + (MONTH(D61)-MONTH(C61)))) &gt;= 2, "Loyal",D61 &gt;= EDATE(TODAY(), -3), "Aktif",TRUE, "Pasif"),"Pasif")</f>
        <v>Pasif</v>
      </c>
      <c r="H61" s="10">
        <v>35400000</v>
      </c>
      <c r="I61" t="str" cm="1">
        <f t="array" ref="I61">_xlfn.IFS(H61&lt;5000000, "Bronze",H61&lt;10000000, "Silver",H61&lt;20000000, "Gold", H61&gt;=20000000, "Diamond")</f>
        <v>Diamond</v>
      </c>
    </row>
    <row r="62" spans="1:9" x14ac:dyDescent="0.3">
      <c r="A62" s="16" t="s">
        <v>95</v>
      </c>
      <c r="B62">
        <v>13</v>
      </c>
      <c r="C62" s="14">
        <v>45709</v>
      </c>
      <c r="D62" s="14">
        <v>45912</v>
      </c>
      <c r="E62">
        <f t="shared" ca="1" si="0"/>
        <v>2</v>
      </c>
      <c r="F62">
        <f t="shared" si="1"/>
        <v>1.8571428571428572</v>
      </c>
      <c r="G62" t="str" cm="1">
        <f t="array" aca="1" ref="G62" ca="1">IFERROR(_xlfn.IFS(B62/(MAX(1, 12*(YEAR(D62)-YEAR(C62)) + (MONTH(D62)-MONTH(C62)))) &gt;= 2, "Loyal",D62 &gt;= EDATE(TODAY(), -3), "Aktif",TRUE, "Pasif"),"Pasif")</f>
        <v>Aktif</v>
      </c>
      <c r="H62" s="10">
        <v>30000000</v>
      </c>
      <c r="I62" t="str" cm="1">
        <f t="array" ref="I62">_xlfn.IFS(H62&lt;5000000, "Bronze",H62&lt;10000000, "Silver",H62&lt;20000000, "Gold", H62&gt;=20000000, "Diamond")</f>
        <v>Diamond</v>
      </c>
    </row>
    <row r="63" spans="1:9" x14ac:dyDescent="0.3">
      <c r="A63" s="16" t="s">
        <v>37</v>
      </c>
      <c r="B63">
        <v>7</v>
      </c>
      <c r="C63" s="14">
        <v>45669</v>
      </c>
      <c r="D63" s="14">
        <v>45912</v>
      </c>
      <c r="E63">
        <f t="shared" ca="1" si="0"/>
        <v>2</v>
      </c>
      <c r="F63">
        <f t="shared" si="1"/>
        <v>0.875</v>
      </c>
      <c r="G63" t="str" cm="1">
        <f t="array" aca="1" ref="G63" ca="1">IFERROR(_xlfn.IFS(B63/(MAX(1, 12*(YEAR(D63)-YEAR(C63)) + (MONTH(D63)-MONTH(C63)))) &gt;= 2, "Loyal",D63 &gt;= EDATE(TODAY(), -3), "Aktif",TRUE, "Pasif"),"Pasif")</f>
        <v>Aktif</v>
      </c>
      <c r="H63" s="10">
        <v>26200000</v>
      </c>
      <c r="I63" t="str" cm="1">
        <f t="array" ref="I63">_xlfn.IFS(H63&lt;5000000, "Bronze",H63&lt;10000000, "Silver",H63&lt;20000000, "Gold", H63&gt;=20000000, "Diamond")</f>
        <v>Diamond</v>
      </c>
    </row>
    <row r="64" spans="1:9" x14ac:dyDescent="0.3">
      <c r="A64" s="16" t="s">
        <v>103</v>
      </c>
      <c r="B64">
        <v>11</v>
      </c>
      <c r="C64" s="14">
        <v>45685</v>
      </c>
      <c r="D64" s="14">
        <v>45886</v>
      </c>
      <c r="E64">
        <f t="shared" ca="1" si="0"/>
        <v>3</v>
      </c>
      <c r="F64">
        <f t="shared" si="1"/>
        <v>1.5714285714285714</v>
      </c>
      <c r="G64" t="str" cm="1">
        <f t="array" aca="1" ref="G64" ca="1">IFERROR(_xlfn.IFS(B64/(MAX(1, 12*(YEAR(D64)-YEAR(C64)) + (MONTH(D64)-MONTH(C64)))) &gt;= 2, "Loyal",D64 &gt;= EDATE(TODAY(), -3), "Aktif",TRUE, "Pasif"),"Pasif")</f>
        <v>Pasif</v>
      </c>
      <c r="H64" s="10">
        <v>50550000</v>
      </c>
      <c r="I64" t="str" cm="1">
        <f t="array" ref="I64">_xlfn.IFS(H64&lt;5000000, "Bronze",H64&lt;10000000, "Silver",H64&lt;20000000, "Gold", H64&gt;=20000000, "Diamond")</f>
        <v>Diamond</v>
      </c>
    </row>
    <row r="65" spans="1:9" x14ac:dyDescent="0.3">
      <c r="A65" s="16" t="s">
        <v>30</v>
      </c>
      <c r="B65">
        <v>15</v>
      </c>
      <c r="C65" s="14">
        <v>45666</v>
      </c>
      <c r="D65" s="14">
        <v>45930</v>
      </c>
      <c r="E65">
        <f t="shared" ca="1" si="0"/>
        <v>2</v>
      </c>
      <c r="F65">
        <f t="shared" si="1"/>
        <v>1.875</v>
      </c>
      <c r="G65" t="str" cm="1">
        <f t="array" aca="1" ref="G65" ca="1">IFERROR(_xlfn.IFS(B65/(MAX(1, 12*(YEAR(D65)-YEAR(C65)) + (MONTH(D65)-MONTH(C65)))) &gt;= 2, "Loyal",D65 &gt;= EDATE(TODAY(), -3), "Aktif",TRUE, "Pasif"),"Pasif")</f>
        <v>Aktif</v>
      </c>
      <c r="H65" s="10">
        <v>135600000</v>
      </c>
      <c r="I65" t="str" cm="1">
        <f t="array" ref="I65">_xlfn.IFS(H65&lt;5000000, "Bronze",H65&lt;10000000, "Silver",H65&lt;20000000, "Gold", H65&gt;=20000000, "Diamond")</f>
        <v>Diamond</v>
      </c>
    </row>
    <row r="66" spans="1:9" x14ac:dyDescent="0.3">
      <c r="A66" s="16" t="s">
        <v>72</v>
      </c>
      <c r="B66">
        <v>10</v>
      </c>
      <c r="C66" s="14">
        <v>45668</v>
      </c>
      <c r="D66" s="14">
        <v>45907</v>
      </c>
      <c r="E66">
        <f t="shared" ca="1" si="0"/>
        <v>2</v>
      </c>
      <c r="F66">
        <f t="shared" si="1"/>
        <v>1.25</v>
      </c>
      <c r="G66" t="str" cm="1">
        <f t="array" aca="1" ref="G66" ca="1">IFERROR(_xlfn.IFS(B66/(MAX(1, 12*(YEAR(D66)-YEAR(C66)) + (MONTH(D66)-MONTH(C66)))) &gt;= 2, "Loyal",D66 &gt;= EDATE(TODAY(), -3), "Aktif",TRUE, "Pasif"),"Pasif")</f>
        <v>Aktif</v>
      </c>
      <c r="H66" s="10">
        <v>53250000</v>
      </c>
      <c r="I66" t="str" cm="1">
        <f t="array" ref="I66">_xlfn.IFS(H66&lt;5000000, "Bronze",H66&lt;10000000, "Silver",H66&lt;20000000, "Gold", H66&gt;=20000000, "Diamond")</f>
        <v>Diamond</v>
      </c>
    </row>
    <row r="67" spans="1:9" x14ac:dyDescent="0.3">
      <c r="A67" s="16" t="s">
        <v>36</v>
      </c>
      <c r="B67">
        <v>13</v>
      </c>
      <c r="C67" s="14">
        <v>45661</v>
      </c>
      <c r="D67" s="14">
        <v>45930</v>
      </c>
      <c r="E67">
        <f t="shared" ref="E67:E101" ca="1" si="2">12*(YEAR(TODAY()) - YEAR(D67))+ (MONTH(TODAY()) - MONTH(D67))</f>
        <v>2</v>
      </c>
      <c r="F67">
        <f t="shared" ref="F67:F101" si="3">IF((12 * (YEAR(D67) - YEAR(C67)) + (MONTH(D67) - MONTH(C67))) = 0, B67, B67 / (12 * (YEAR(D67) - YEAR(C67)) + (MONTH(D67) - MONTH(C67))))</f>
        <v>1.625</v>
      </c>
      <c r="G67" t="str" cm="1">
        <f t="array" aca="1" ref="G67" ca="1">IFERROR(_xlfn.IFS(B67/(MAX(1, 12*(YEAR(D67)-YEAR(C67)) + (MONTH(D67)-MONTH(C67)))) &gt;= 2, "Loyal",D67 &gt;= EDATE(TODAY(), -3), "Aktif",TRUE, "Pasif"),"Pasif")</f>
        <v>Aktif</v>
      </c>
      <c r="H67" s="10">
        <v>25500000</v>
      </c>
      <c r="I67" t="str" cm="1">
        <f t="array" ref="I67">_xlfn.IFS(H67&lt;5000000, "Bronze",H67&lt;10000000, "Silver",H67&lt;20000000, "Gold", H67&gt;=20000000, "Diamond")</f>
        <v>Diamond</v>
      </c>
    </row>
    <row r="68" spans="1:9" x14ac:dyDescent="0.3">
      <c r="A68" s="16" t="s">
        <v>80</v>
      </c>
      <c r="B68">
        <v>9</v>
      </c>
      <c r="C68" s="14">
        <v>45690</v>
      </c>
      <c r="D68" s="14">
        <v>45928</v>
      </c>
      <c r="E68">
        <f t="shared" ca="1" si="2"/>
        <v>2</v>
      </c>
      <c r="F68">
        <f t="shared" si="3"/>
        <v>1.2857142857142858</v>
      </c>
      <c r="G68" t="str" cm="1">
        <f t="array" aca="1" ref="G68" ca="1">IFERROR(_xlfn.IFS(B68/(MAX(1, 12*(YEAR(D68)-YEAR(C68)) + (MONTH(D68)-MONTH(C68)))) &gt;= 2, "Loyal",D68 &gt;= EDATE(TODAY(), -3), "Aktif",TRUE, "Pasif"),"Pasif")</f>
        <v>Aktif</v>
      </c>
      <c r="H68" s="10">
        <v>57850000</v>
      </c>
      <c r="I68" t="str" cm="1">
        <f t="array" ref="I68">_xlfn.IFS(H68&lt;5000000, "Bronze",H68&lt;10000000, "Silver",H68&lt;20000000, "Gold", H68&gt;=20000000, "Diamond")</f>
        <v>Diamond</v>
      </c>
    </row>
    <row r="69" spans="1:9" x14ac:dyDescent="0.3">
      <c r="A69" s="16" t="s">
        <v>24</v>
      </c>
      <c r="B69">
        <v>9</v>
      </c>
      <c r="C69" s="14">
        <v>45664</v>
      </c>
      <c r="D69" s="14">
        <v>45924</v>
      </c>
      <c r="E69">
        <f t="shared" ca="1" si="2"/>
        <v>2</v>
      </c>
      <c r="F69">
        <f t="shared" si="3"/>
        <v>1.125</v>
      </c>
      <c r="G69" t="str" cm="1">
        <f t="array" aca="1" ref="G69" ca="1">IFERROR(_xlfn.IFS(B69/(MAX(1, 12*(YEAR(D69)-YEAR(C69)) + (MONTH(D69)-MONTH(C69)))) &gt;= 2, "Loyal",D69 &gt;= EDATE(TODAY(), -3), "Aktif",TRUE, "Pasif"),"Pasif")</f>
        <v>Aktif</v>
      </c>
      <c r="H69" s="10">
        <v>37700000</v>
      </c>
      <c r="I69" t="str" cm="1">
        <f t="array" ref="I69">_xlfn.IFS(H69&lt;5000000, "Bronze",H69&lt;10000000, "Silver",H69&lt;20000000, "Gold", H69&gt;=20000000, "Diamond")</f>
        <v>Diamond</v>
      </c>
    </row>
    <row r="70" spans="1:9" x14ac:dyDescent="0.3">
      <c r="A70" s="16" t="s">
        <v>75</v>
      </c>
      <c r="B70">
        <v>9</v>
      </c>
      <c r="C70" s="14">
        <v>45684</v>
      </c>
      <c r="D70" s="14">
        <v>45926</v>
      </c>
      <c r="E70">
        <f t="shared" ca="1" si="2"/>
        <v>2</v>
      </c>
      <c r="F70">
        <f t="shared" si="3"/>
        <v>1.125</v>
      </c>
      <c r="G70" t="str" cm="1">
        <f t="array" aca="1" ref="G70" ca="1">IFERROR(_xlfn.IFS(B70/(MAX(1, 12*(YEAR(D70)-YEAR(C70)) + (MONTH(D70)-MONTH(C70)))) &gt;= 2, "Loyal",D70 &gt;= EDATE(TODAY(), -3), "Aktif",TRUE, "Pasif"),"Pasif")</f>
        <v>Aktif</v>
      </c>
      <c r="H70" s="10">
        <v>44400000</v>
      </c>
      <c r="I70" t="str" cm="1">
        <f t="array" ref="I70">_xlfn.IFS(H70&lt;5000000, "Bronze",H70&lt;10000000, "Silver",H70&lt;20000000, "Gold", H70&gt;=20000000, "Diamond")</f>
        <v>Diamond</v>
      </c>
    </row>
    <row r="71" spans="1:9" x14ac:dyDescent="0.3">
      <c r="A71" s="16" t="s">
        <v>73</v>
      </c>
      <c r="B71">
        <v>10</v>
      </c>
      <c r="C71" s="14">
        <v>45699</v>
      </c>
      <c r="D71" s="14">
        <v>45926</v>
      </c>
      <c r="E71">
        <f t="shared" ca="1" si="2"/>
        <v>2</v>
      </c>
      <c r="F71">
        <f t="shared" si="3"/>
        <v>1.4285714285714286</v>
      </c>
      <c r="G71" t="str" cm="1">
        <f t="array" aca="1" ref="G71" ca="1">IFERROR(_xlfn.IFS(B71/(MAX(1, 12*(YEAR(D71)-YEAR(C71)) + (MONTH(D71)-MONTH(C71)))) &gt;= 2, "Loyal",D71 &gt;= EDATE(TODAY(), -3), "Aktif",TRUE, "Pasif"),"Pasif")</f>
        <v>Aktif</v>
      </c>
      <c r="H71" s="10">
        <v>28750000</v>
      </c>
      <c r="I71" t="str" cm="1">
        <f t="array" ref="I71">_xlfn.IFS(H71&lt;5000000, "Bronze",H71&lt;10000000, "Silver",H71&lt;20000000, "Gold", H71&gt;=20000000, "Diamond")</f>
        <v>Diamond</v>
      </c>
    </row>
    <row r="72" spans="1:9" x14ac:dyDescent="0.3">
      <c r="A72" s="16" t="s">
        <v>12</v>
      </c>
      <c r="B72">
        <v>8</v>
      </c>
      <c r="C72" s="14">
        <v>45708</v>
      </c>
      <c r="D72" s="14">
        <v>45918</v>
      </c>
      <c r="E72">
        <f t="shared" ca="1" si="2"/>
        <v>2</v>
      </c>
      <c r="F72">
        <f t="shared" si="3"/>
        <v>1.1428571428571428</v>
      </c>
      <c r="G72" t="str" cm="1">
        <f t="array" aca="1" ref="G72" ca="1">IFERROR(_xlfn.IFS(B72/(MAX(1, 12*(YEAR(D72)-YEAR(C72)) + (MONTH(D72)-MONTH(C72)))) &gt;= 2, "Loyal",D72 &gt;= EDATE(TODAY(), -3), "Aktif",TRUE, "Pasif"),"Pasif")</f>
        <v>Aktif</v>
      </c>
      <c r="H72" s="10">
        <v>8900000</v>
      </c>
      <c r="I72" t="str" cm="1">
        <f t="array" ref="I72">_xlfn.IFS(H72&lt;5000000, "Bronze",H72&lt;10000000, "Silver",H72&lt;20000000, "Gold", H72&gt;=20000000, "Diamond")</f>
        <v>Silver</v>
      </c>
    </row>
    <row r="73" spans="1:9" x14ac:dyDescent="0.3">
      <c r="A73" s="16" t="s">
        <v>59</v>
      </c>
      <c r="B73">
        <v>9</v>
      </c>
      <c r="C73" s="14">
        <v>45672</v>
      </c>
      <c r="D73" s="14">
        <v>45930</v>
      </c>
      <c r="E73">
        <f t="shared" ca="1" si="2"/>
        <v>2</v>
      </c>
      <c r="F73">
        <f t="shared" si="3"/>
        <v>1.125</v>
      </c>
      <c r="G73" t="str" cm="1">
        <f t="array" aca="1" ref="G73" ca="1">IFERROR(_xlfn.IFS(B73/(MAX(1, 12*(YEAR(D73)-YEAR(C73)) + (MONTH(D73)-MONTH(C73)))) &gt;= 2, "Loyal",D73 &gt;= EDATE(TODAY(), -3), "Aktif",TRUE, "Pasif"),"Pasif")</f>
        <v>Aktif</v>
      </c>
      <c r="H73" s="10">
        <v>22850000</v>
      </c>
      <c r="I73" t="str" cm="1">
        <f t="array" ref="I73">_xlfn.IFS(H73&lt;5000000, "Bronze",H73&lt;10000000, "Silver",H73&lt;20000000, "Gold", H73&gt;=20000000, "Diamond")</f>
        <v>Diamond</v>
      </c>
    </row>
    <row r="74" spans="1:9" x14ac:dyDescent="0.3">
      <c r="A74" s="16" t="s">
        <v>18</v>
      </c>
      <c r="B74">
        <v>8</v>
      </c>
      <c r="C74" s="14">
        <v>45686</v>
      </c>
      <c r="D74" s="14">
        <v>45884</v>
      </c>
      <c r="E74">
        <f t="shared" ca="1" si="2"/>
        <v>3</v>
      </c>
      <c r="F74">
        <f t="shared" si="3"/>
        <v>1.1428571428571428</v>
      </c>
      <c r="G74" t="str" cm="1">
        <f t="array" aca="1" ref="G74" ca="1">IFERROR(_xlfn.IFS(B74/(MAX(1, 12*(YEAR(D74)-YEAR(C74)) + (MONTH(D74)-MONTH(C74)))) &gt;= 2, "Loyal",D74 &gt;= EDATE(TODAY(), -3), "Aktif",TRUE, "Pasif"),"Pasif")</f>
        <v>Pasif</v>
      </c>
      <c r="H74" s="10">
        <v>30000000</v>
      </c>
      <c r="I74" t="str" cm="1">
        <f t="array" ref="I74">_xlfn.IFS(H74&lt;5000000, "Bronze",H74&lt;10000000, "Silver",H74&lt;20000000, "Gold", H74&gt;=20000000, "Diamond")</f>
        <v>Diamond</v>
      </c>
    </row>
    <row r="75" spans="1:9" x14ac:dyDescent="0.3">
      <c r="A75" s="16" t="s">
        <v>87</v>
      </c>
      <c r="B75">
        <v>8</v>
      </c>
      <c r="C75" s="14">
        <v>45698</v>
      </c>
      <c r="D75" s="14">
        <v>45930</v>
      </c>
      <c r="E75">
        <f t="shared" ca="1" si="2"/>
        <v>2</v>
      </c>
      <c r="F75">
        <f t="shared" si="3"/>
        <v>1.1428571428571428</v>
      </c>
      <c r="G75" t="str" cm="1">
        <f t="array" aca="1" ref="G75" ca="1">IFERROR(_xlfn.IFS(B75/(MAX(1, 12*(YEAR(D75)-YEAR(C75)) + (MONTH(D75)-MONTH(C75)))) &gt;= 2, "Loyal",D75 &gt;= EDATE(TODAY(), -3), "Aktif",TRUE, "Pasif"),"Pasif")</f>
        <v>Aktif</v>
      </c>
      <c r="H75" s="10">
        <v>26100000</v>
      </c>
      <c r="I75" t="str" cm="1">
        <f t="array" ref="I75">_xlfn.IFS(H75&lt;5000000, "Bronze",H75&lt;10000000, "Silver",H75&lt;20000000, "Gold", H75&gt;=20000000, "Diamond")</f>
        <v>Diamond</v>
      </c>
    </row>
    <row r="76" spans="1:9" x14ac:dyDescent="0.3">
      <c r="A76" s="16" t="s">
        <v>60</v>
      </c>
      <c r="B76">
        <v>9</v>
      </c>
      <c r="C76" s="14">
        <v>45687</v>
      </c>
      <c r="D76" s="14">
        <v>45865</v>
      </c>
      <c r="E76">
        <f t="shared" ca="1" si="2"/>
        <v>4</v>
      </c>
      <c r="F76">
        <f t="shared" si="3"/>
        <v>1.5</v>
      </c>
      <c r="G76" t="str" cm="1">
        <f t="array" aca="1" ref="G76" ca="1">IFERROR(_xlfn.IFS(B76/(MAX(1, 12*(YEAR(D76)-YEAR(C76)) + (MONTH(D76)-MONTH(C76)))) &gt;= 2, "Loyal",D76 &gt;= EDATE(TODAY(), -3), "Aktif",TRUE, "Pasif"),"Pasif")</f>
        <v>Pasif</v>
      </c>
      <c r="H76" s="10">
        <v>9150000</v>
      </c>
      <c r="I76" t="str" cm="1">
        <f t="array" ref="I76">_xlfn.IFS(H76&lt;5000000, "Bronze",H76&lt;10000000, "Silver",H76&lt;20000000, "Gold", H76&gt;=20000000, "Diamond")</f>
        <v>Silver</v>
      </c>
    </row>
    <row r="77" spans="1:9" x14ac:dyDescent="0.3">
      <c r="A77" s="16" t="s">
        <v>76</v>
      </c>
      <c r="B77">
        <v>6</v>
      </c>
      <c r="C77" s="14">
        <v>45662</v>
      </c>
      <c r="D77" s="14">
        <v>45831</v>
      </c>
      <c r="E77">
        <f t="shared" ca="1" si="2"/>
        <v>5</v>
      </c>
      <c r="F77">
        <f t="shared" si="3"/>
        <v>1.2</v>
      </c>
      <c r="G77" t="str" cm="1">
        <f t="array" aca="1" ref="G77" ca="1">IFERROR(_xlfn.IFS(B77/(MAX(1, 12*(YEAR(D77)-YEAR(C77)) + (MONTH(D77)-MONTH(C77)))) &gt;= 2, "Loyal",D77 &gt;= EDATE(TODAY(), -3), "Aktif",TRUE, "Pasif"),"Pasif")</f>
        <v>Pasif</v>
      </c>
      <c r="H77" s="10">
        <v>37400000</v>
      </c>
      <c r="I77" t="str" cm="1">
        <f t="array" ref="I77">_xlfn.IFS(H77&lt;5000000, "Bronze",H77&lt;10000000, "Silver",H77&lt;20000000, "Gold", H77&gt;=20000000, "Diamond")</f>
        <v>Diamond</v>
      </c>
    </row>
    <row r="78" spans="1:9" x14ac:dyDescent="0.3">
      <c r="A78" s="16" t="s">
        <v>77</v>
      </c>
      <c r="B78">
        <v>8</v>
      </c>
      <c r="C78" s="14">
        <v>45705</v>
      </c>
      <c r="D78" s="14">
        <v>45933</v>
      </c>
      <c r="E78">
        <f t="shared" ca="1" si="2"/>
        <v>1</v>
      </c>
      <c r="F78">
        <f t="shared" si="3"/>
        <v>1</v>
      </c>
      <c r="G78" t="str" cm="1">
        <f t="array" aca="1" ref="G78" ca="1">IFERROR(_xlfn.IFS(B78/(MAX(1, 12*(YEAR(D78)-YEAR(C78)) + (MONTH(D78)-MONTH(C78)))) &gt;= 2, "Loyal",D78 &gt;= EDATE(TODAY(), -3), "Aktif",TRUE, "Pasif"),"Pasif")</f>
        <v>Aktif</v>
      </c>
      <c r="H78" s="10">
        <v>47350000</v>
      </c>
      <c r="I78" t="str" cm="1">
        <f t="array" ref="I78">_xlfn.IFS(H78&lt;5000000, "Bronze",H78&lt;10000000, "Silver",H78&lt;20000000, "Gold", H78&gt;=20000000, "Diamond")</f>
        <v>Diamond</v>
      </c>
    </row>
    <row r="79" spans="1:9" x14ac:dyDescent="0.3">
      <c r="A79" s="16" t="s">
        <v>67</v>
      </c>
      <c r="B79">
        <v>9</v>
      </c>
      <c r="C79" s="14">
        <v>45674</v>
      </c>
      <c r="D79" s="14">
        <v>45931</v>
      </c>
      <c r="E79">
        <f t="shared" ca="1" si="2"/>
        <v>1</v>
      </c>
      <c r="F79">
        <f t="shared" si="3"/>
        <v>1</v>
      </c>
      <c r="G79" t="str" cm="1">
        <f t="array" aca="1" ref="G79" ca="1">IFERROR(_xlfn.IFS(B79/(MAX(1, 12*(YEAR(D79)-YEAR(C79)) + (MONTH(D79)-MONTH(C79)))) &gt;= 2, "Loyal",D79 &gt;= EDATE(TODAY(), -3), "Aktif",TRUE, "Pasif"),"Pasif")</f>
        <v>Aktif</v>
      </c>
      <c r="H79" s="10">
        <v>28450000</v>
      </c>
      <c r="I79" t="str" cm="1">
        <f t="array" ref="I79">_xlfn.IFS(H79&lt;5000000, "Bronze",H79&lt;10000000, "Silver",H79&lt;20000000, "Gold", H79&gt;=20000000, "Diamond")</f>
        <v>Diamond</v>
      </c>
    </row>
    <row r="80" spans="1:9" x14ac:dyDescent="0.3">
      <c r="A80" s="16" t="s">
        <v>66</v>
      </c>
      <c r="B80">
        <v>9</v>
      </c>
      <c r="C80" s="14">
        <v>45680</v>
      </c>
      <c r="D80" s="14">
        <v>45921</v>
      </c>
      <c r="E80">
        <f t="shared" ca="1" si="2"/>
        <v>2</v>
      </c>
      <c r="F80">
        <f t="shared" si="3"/>
        <v>1.125</v>
      </c>
      <c r="G80" t="str" cm="1">
        <f t="array" aca="1" ref="G80" ca="1">IFERROR(_xlfn.IFS(B80/(MAX(1, 12*(YEAR(D80)-YEAR(C80)) + (MONTH(D80)-MONTH(C80)))) &gt;= 2, "Loyal",D80 &gt;= EDATE(TODAY(), -3), "Aktif",TRUE, "Pasif"),"Pasif")</f>
        <v>Aktif</v>
      </c>
      <c r="H80" s="10">
        <v>26350000</v>
      </c>
      <c r="I80" t="str" cm="1">
        <f t="array" ref="I80">_xlfn.IFS(H80&lt;5000000, "Bronze",H80&lt;10000000, "Silver",H80&lt;20000000, "Gold", H80&gt;=20000000, "Diamond")</f>
        <v>Diamond</v>
      </c>
    </row>
    <row r="81" spans="1:9" x14ac:dyDescent="0.3">
      <c r="A81" s="16" t="s">
        <v>79</v>
      </c>
      <c r="B81">
        <v>8</v>
      </c>
      <c r="C81" s="14">
        <v>45679</v>
      </c>
      <c r="D81" s="14">
        <v>45898</v>
      </c>
      <c r="E81">
        <f t="shared" ca="1" si="2"/>
        <v>3</v>
      </c>
      <c r="F81">
        <f t="shared" si="3"/>
        <v>1.1428571428571428</v>
      </c>
      <c r="G81" t="str" cm="1">
        <f t="array" aca="1" ref="G81" ca="1">IFERROR(_xlfn.IFS(B81/(MAX(1, 12*(YEAR(D81)-YEAR(C81)) + (MONTH(D81)-MONTH(C81)))) &gt;= 2, "Loyal",D81 &gt;= EDATE(TODAY(), -3), "Aktif",TRUE, "Pasif"),"Pasif")</f>
        <v>Aktif</v>
      </c>
      <c r="H81" s="10">
        <v>23700000</v>
      </c>
      <c r="I81" t="str" cm="1">
        <f t="array" ref="I81">_xlfn.IFS(H81&lt;5000000, "Bronze",H81&lt;10000000, "Silver",H81&lt;20000000, "Gold", H81&gt;=20000000, "Diamond")</f>
        <v>Diamond</v>
      </c>
    </row>
    <row r="82" spans="1:9" x14ac:dyDescent="0.3">
      <c r="A82" s="16" t="s">
        <v>101</v>
      </c>
      <c r="B82">
        <v>7</v>
      </c>
      <c r="C82" s="14">
        <v>45678</v>
      </c>
      <c r="D82" s="14">
        <v>45931</v>
      </c>
      <c r="E82">
        <f t="shared" ca="1" si="2"/>
        <v>1</v>
      </c>
      <c r="F82">
        <f t="shared" si="3"/>
        <v>0.77777777777777779</v>
      </c>
      <c r="G82" t="str" cm="1">
        <f t="array" aca="1" ref="G82" ca="1">IFERROR(_xlfn.IFS(B82/(MAX(1, 12*(YEAR(D82)-YEAR(C82)) + (MONTH(D82)-MONTH(C82)))) &gt;= 2, "Loyal",D82 &gt;= EDATE(TODAY(), -3), "Aktif",TRUE, "Pasif"),"Pasif")</f>
        <v>Aktif</v>
      </c>
      <c r="H82" s="10">
        <v>8650000</v>
      </c>
      <c r="I82" t="str" cm="1">
        <f t="array" ref="I82">_xlfn.IFS(H82&lt;5000000, "Bronze",H82&lt;10000000, "Silver",H82&lt;20000000, "Gold", H82&gt;=20000000, "Diamond")</f>
        <v>Silver</v>
      </c>
    </row>
    <row r="83" spans="1:9" x14ac:dyDescent="0.3">
      <c r="A83" s="16" t="s">
        <v>16</v>
      </c>
      <c r="B83">
        <v>12</v>
      </c>
      <c r="C83" s="14">
        <v>45665</v>
      </c>
      <c r="D83" s="14">
        <v>45885</v>
      </c>
      <c r="E83">
        <f t="shared" ca="1" si="2"/>
        <v>3</v>
      </c>
      <c r="F83">
        <f t="shared" si="3"/>
        <v>1.7142857142857142</v>
      </c>
      <c r="G83" t="str" cm="1">
        <f t="array" aca="1" ref="G83" ca="1">IFERROR(_xlfn.IFS(B83/(MAX(1, 12*(YEAR(D83)-YEAR(C83)) + (MONTH(D83)-MONTH(C83)))) &gt;= 2, "Loyal",D83 &gt;= EDATE(TODAY(), -3), "Aktif",TRUE, "Pasif"),"Pasif")</f>
        <v>Pasif</v>
      </c>
      <c r="H83" s="10">
        <v>48350000</v>
      </c>
      <c r="I83" t="str" cm="1">
        <f t="array" ref="I83">_xlfn.IFS(H83&lt;5000000, "Bronze",H83&lt;10000000, "Silver",H83&lt;20000000, "Gold", H83&gt;=20000000, "Diamond")</f>
        <v>Diamond</v>
      </c>
    </row>
    <row r="84" spans="1:9" x14ac:dyDescent="0.3">
      <c r="A84" s="16" t="s">
        <v>26</v>
      </c>
      <c r="B84">
        <v>10</v>
      </c>
      <c r="C84" s="14">
        <v>45693</v>
      </c>
      <c r="D84" s="14">
        <v>45931</v>
      </c>
      <c r="E84">
        <f t="shared" ca="1" si="2"/>
        <v>1</v>
      </c>
      <c r="F84">
        <f t="shared" si="3"/>
        <v>1.25</v>
      </c>
      <c r="G84" t="str" cm="1">
        <f t="array" aca="1" ref="G84" ca="1">IFERROR(_xlfn.IFS(B84/(MAX(1, 12*(YEAR(D84)-YEAR(C84)) + (MONTH(D84)-MONTH(C84)))) &gt;= 2, "Loyal",D84 &gt;= EDATE(TODAY(), -3), "Aktif",TRUE, "Pasif"),"Pasif")</f>
        <v>Aktif</v>
      </c>
      <c r="H84" s="10">
        <v>46450000</v>
      </c>
      <c r="I84" t="str" cm="1">
        <f t="array" ref="I84">_xlfn.IFS(H84&lt;5000000, "Bronze",H84&lt;10000000, "Silver",H84&lt;20000000, "Gold", H84&gt;=20000000, "Diamond")</f>
        <v>Diamond</v>
      </c>
    </row>
    <row r="85" spans="1:9" x14ac:dyDescent="0.3">
      <c r="A85" s="16" t="s">
        <v>6</v>
      </c>
      <c r="B85">
        <v>10</v>
      </c>
      <c r="C85" s="14">
        <v>45664</v>
      </c>
      <c r="D85" s="14">
        <v>45889</v>
      </c>
      <c r="E85">
        <f t="shared" ca="1" si="2"/>
        <v>3</v>
      </c>
      <c r="F85">
        <f t="shared" si="3"/>
        <v>1.4285714285714286</v>
      </c>
      <c r="G85" t="str" cm="1">
        <f t="array" aca="1" ref="G85" ca="1">IFERROR(_xlfn.IFS(B85/(MAX(1, 12*(YEAR(D85)-YEAR(C85)) + (MONTH(D85)-MONTH(C85)))) &gt;= 2, "Loyal",D85 &gt;= EDATE(TODAY(), -3), "Aktif",TRUE, "Pasif"),"Pasif")</f>
        <v>Aktif</v>
      </c>
      <c r="H85" s="10">
        <v>47600000</v>
      </c>
      <c r="I85" t="str" cm="1">
        <f t="array" ref="I85">_xlfn.IFS(H85&lt;5000000, "Bronze",H85&lt;10000000, "Silver",H85&lt;20000000, "Gold", H85&gt;=20000000, "Diamond")</f>
        <v>Diamond</v>
      </c>
    </row>
    <row r="86" spans="1:9" x14ac:dyDescent="0.3">
      <c r="A86" s="16" t="s">
        <v>69</v>
      </c>
      <c r="B86">
        <v>10</v>
      </c>
      <c r="C86" s="14">
        <v>45661</v>
      </c>
      <c r="D86" s="14">
        <v>45926</v>
      </c>
      <c r="E86">
        <f t="shared" ca="1" si="2"/>
        <v>2</v>
      </c>
      <c r="F86">
        <f t="shared" si="3"/>
        <v>1.25</v>
      </c>
      <c r="G86" t="str" cm="1">
        <f t="array" aca="1" ref="G86" ca="1">IFERROR(_xlfn.IFS(B86/(MAX(1, 12*(YEAR(D86)-YEAR(C86)) + (MONTH(D86)-MONTH(C86)))) &gt;= 2, "Loyal",D86 &gt;= EDATE(TODAY(), -3), "Aktif",TRUE, "Pasif"),"Pasif")</f>
        <v>Aktif</v>
      </c>
      <c r="H86" s="10">
        <v>53350000</v>
      </c>
      <c r="I86" t="str" cm="1">
        <f t="array" ref="I86">_xlfn.IFS(H86&lt;5000000, "Bronze",H86&lt;10000000, "Silver",H86&lt;20000000, "Gold", H86&gt;=20000000, "Diamond")</f>
        <v>Diamond</v>
      </c>
    </row>
    <row r="87" spans="1:9" x14ac:dyDescent="0.3">
      <c r="A87" s="16" t="s">
        <v>88</v>
      </c>
      <c r="B87">
        <v>10</v>
      </c>
      <c r="C87" s="14">
        <v>45669</v>
      </c>
      <c r="D87" s="14">
        <v>45917</v>
      </c>
      <c r="E87">
        <f t="shared" ca="1" si="2"/>
        <v>2</v>
      </c>
      <c r="F87">
        <f t="shared" si="3"/>
        <v>1.25</v>
      </c>
      <c r="G87" t="str" cm="1">
        <f t="array" aca="1" ref="G87" ca="1">IFERROR(_xlfn.IFS(B87/(MAX(1, 12*(YEAR(D87)-YEAR(C87)) + (MONTH(D87)-MONTH(C87)))) &gt;= 2, "Loyal",D87 &gt;= EDATE(TODAY(), -3), "Aktif",TRUE, "Pasif"),"Pasif")</f>
        <v>Aktif</v>
      </c>
      <c r="H87" s="10">
        <v>51750000</v>
      </c>
      <c r="I87" t="str" cm="1">
        <f t="array" ref="I87">_xlfn.IFS(H87&lt;5000000, "Bronze",H87&lt;10000000, "Silver",H87&lt;20000000, "Gold", H87&gt;=20000000, "Diamond")</f>
        <v>Diamond</v>
      </c>
    </row>
    <row r="88" spans="1:9" x14ac:dyDescent="0.3">
      <c r="A88" s="16" t="s">
        <v>29</v>
      </c>
      <c r="B88">
        <v>9</v>
      </c>
      <c r="C88" s="14">
        <v>45702</v>
      </c>
      <c r="D88" s="14">
        <v>45895</v>
      </c>
      <c r="E88">
        <f t="shared" ca="1" si="2"/>
        <v>3</v>
      </c>
      <c r="F88">
        <f t="shared" si="3"/>
        <v>1.5</v>
      </c>
      <c r="G88" t="str" cm="1">
        <f t="array" aca="1" ref="G88" ca="1">IFERROR(_xlfn.IFS(B88/(MAX(1, 12*(YEAR(D88)-YEAR(C88)) + (MONTH(D88)-MONTH(C88)))) &gt;= 2, "Loyal",D88 &gt;= EDATE(TODAY(), -3), "Aktif",TRUE, "Pasif"),"Pasif")</f>
        <v>Aktif</v>
      </c>
      <c r="H88" s="10">
        <v>30400000</v>
      </c>
      <c r="I88" t="str" cm="1">
        <f t="array" ref="I88">_xlfn.IFS(H88&lt;5000000, "Bronze",H88&lt;10000000, "Silver",H88&lt;20000000, "Gold", H88&gt;=20000000, "Diamond")</f>
        <v>Diamond</v>
      </c>
    </row>
    <row r="89" spans="1:9" x14ac:dyDescent="0.3">
      <c r="A89" s="16" t="s">
        <v>15</v>
      </c>
      <c r="B89">
        <v>17</v>
      </c>
      <c r="C89" s="14">
        <v>45683</v>
      </c>
      <c r="D89" s="14">
        <v>45909</v>
      </c>
      <c r="E89">
        <f t="shared" ca="1" si="2"/>
        <v>2</v>
      </c>
      <c r="F89">
        <f t="shared" si="3"/>
        <v>2.125</v>
      </c>
      <c r="G89" t="str" cm="1">
        <f t="array" aca="1" ref="G89" ca="1">IFERROR(_xlfn.IFS(B89/(MAX(1, 12*(YEAR(D89)-YEAR(C89)) + (MONTH(D89)-MONTH(C89)))) &gt;= 2, "Loyal",D89 &gt;= EDATE(TODAY(), -3), "Aktif",TRUE, "Pasif"),"Pasif")</f>
        <v>Loyal</v>
      </c>
      <c r="H89" s="10">
        <v>84750000</v>
      </c>
      <c r="I89" t="str" cm="1">
        <f t="array" ref="I89">_xlfn.IFS(H89&lt;5000000, "Bronze",H89&lt;10000000, "Silver",H89&lt;20000000, "Gold", H89&gt;=20000000, "Diamond")</f>
        <v>Diamond</v>
      </c>
    </row>
    <row r="90" spans="1:9" x14ac:dyDescent="0.3">
      <c r="A90" s="16" t="s">
        <v>44</v>
      </c>
      <c r="B90">
        <v>12</v>
      </c>
      <c r="C90" s="14">
        <v>45685</v>
      </c>
      <c r="D90" s="14">
        <v>45910</v>
      </c>
      <c r="E90">
        <f t="shared" ca="1" si="2"/>
        <v>2</v>
      </c>
      <c r="F90">
        <f t="shared" si="3"/>
        <v>1.5</v>
      </c>
      <c r="G90" t="str" cm="1">
        <f t="array" aca="1" ref="G90" ca="1">IFERROR(_xlfn.IFS(B90/(MAX(1, 12*(YEAR(D90)-YEAR(C90)) + (MONTH(D90)-MONTH(C90)))) &gt;= 2, "Loyal",D90 &gt;= EDATE(TODAY(), -3), "Aktif",TRUE, "Pasif"),"Pasif")</f>
        <v>Aktif</v>
      </c>
      <c r="H90" s="10">
        <v>66400000</v>
      </c>
      <c r="I90" t="str" cm="1">
        <f t="array" ref="I90">_xlfn.IFS(H90&lt;5000000, "Bronze",H90&lt;10000000, "Silver",H90&lt;20000000, "Gold", H90&gt;=20000000, "Diamond")</f>
        <v>Diamond</v>
      </c>
    </row>
    <row r="91" spans="1:9" x14ac:dyDescent="0.3">
      <c r="A91" s="16" t="s">
        <v>52</v>
      </c>
      <c r="B91">
        <v>4</v>
      </c>
      <c r="C91" s="14">
        <v>45662</v>
      </c>
      <c r="D91" s="14">
        <v>45884</v>
      </c>
      <c r="E91">
        <f t="shared" ca="1" si="2"/>
        <v>3</v>
      </c>
      <c r="F91">
        <f t="shared" si="3"/>
        <v>0.5714285714285714</v>
      </c>
      <c r="G91" t="str" cm="1">
        <f t="array" aca="1" ref="G91" ca="1">IFERROR(_xlfn.IFS(B91/(MAX(1, 12*(YEAR(D91)-YEAR(C91)) + (MONTH(D91)-MONTH(C91)))) &gt;= 2, "Loyal",D91 &gt;= EDATE(TODAY(), -3), "Aktif",TRUE, "Pasif"),"Pasif")</f>
        <v>Pasif</v>
      </c>
      <c r="H91" s="10">
        <v>14000000</v>
      </c>
      <c r="I91" t="str" cm="1">
        <f t="array" ref="I91">_xlfn.IFS(H91&lt;5000000, "Bronze",H91&lt;10000000, "Silver",H91&lt;20000000, "Gold", H91&gt;=20000000, "Diamond")</f>
        <v>Gold</v>
      </c>
    </row>
    <row r="92" spans="1:9" x14ac:dyDescent="0.3">
      <c r="A92" s="16" t="s">
        <v>11</v>
      </c>
      <c r="B92">
        <v>7</v>
      </c>
      <c r="C92" s="14">
        <v>45696</v>
      </c>
      <c r="D92" s="14">
        <v>45910</v>
      </c>
      <c r="E92">
        <f t="shared" ca="1" si="2"/>
        <v>2</v>
      </c>
      <c r="F92">
        <f t="shared" si="3"/>
        <v>1</v>
      </c>
      <c r="G92" t="str" cm="1">
        <f t="array" aca="1" ref="G92" ca="1">IFERROR(_xlfn.IFS(B92/(MAX(1, 12*(YEAR(D92)-YEAR(C92)) + (MONTH(D92)-MONTH(C92)))) &gt;= 2, "Loyal",D92 &gt;= EDATE(TODAY(), -3), "Aktif",TRUE, "Pasif"),"Pasif")</f>
        <v>Aktif</v>
      </c>
      <c r="H92" s="10">
        <v>26800000</v>
      </c>
      <c r="I92" t="str" cm="1">
        <f t="array" ref="I92">_xlfn.IFS(H92&lt;5000000, "Bronze",H92&lt;10000000, "Silver",H92&lt;20000000, "Gold", H92&gt;=20000000, "Diamond")</f>
        <v>Diamond</v>
      </c>
    </row>
    <row r="93" spans="1:9" x14ac:dyDescent="0.3">
      <c r="A93" s="16" t="s">
        <v>53</v>
      </c>
      <c r="B93">
        <v>4</v>
      </c>
      <c r="C93" s="14">
        <v>45750</v>
      </c>
      <c r="D93" s="14">
        <v>45797</v>
      </c>
      <c r="E93">
        <f t="shared" ca="1" si="2"/>
        <v>6</v>
      </c>
      <c r="F93">
        <f t="shared" si="3"/>
        <v>4</v>
      </c>
      <c r="G93" t="str" cm="1">
        <f t="array" aca="1" ref="G93" ca="1">IFERROR(_xlfn.IFS(B93/(MAX(1, 12*(YEAR(D93)-YEAR(C93)) + (MONTH(D93)-MONTH(C93)))) &gt;= 2, "Loyal",D93 &gt;= EDATE(TODAY(), -3), "Aktif",TRUE, "Pasif"),"Pasif")</f>
        <v>Loyal</v>
      </c>
      <c r="H93" s="10">
        <v>10350000</v>
      </c>
      <c r="I93" t="str" cm="1">
        <f t="array" ref="I93">_xlfn.IFS(H93&lt;5000000, "Bronze",H93&lt;10000000, "Silver",H93&lt;20000000, "Gold", H93&gt;=20000000, "Diamond")</f>
        <v>Gold</v>
      </c>
    </row>
    <row r="94" spans="1:9" x14ac:dyDescent="0.3">
      <c r="A94" s="16" t="s">
        <v>47</v>
      </c>
      <c r="B94">
        <v>12</v>
      </c>
      <c r="C94" s="14">
        <v>45672</v>
      </c>
      <c r="D94" s="14">
        <v>45932</v>
      </c>
      <c r="E94">
        <f t="shared" ca="1" si="2"/>
        <v>1</v>
      </c>
      <c r="F94">
        <f t="shared" si="3"/>
        <v>1.3333333333333333</v>
      </c>
      <c r="G94" t="str" cm="1">
        <f t="array" aca="1" ref="G94" ca="1">IFERROR(_xlfn.IFS(B94/(MAX(1, 12*(YEAR(D94)-YEAR(C94)) + (MONTH(D94)-MONTH(C94)))) &gt;= 2, "Loyal",D94 &gt;= EDATE(TODAY(), -3), "Aktif",TRUE, "Pasif"),"Pasif")</f>
        <v>Aktif</v>
      </c>
      <c r="H94" s="10">
        <v>45000000</v>
      </c>
      <c r="I94" t="str" cm="1">
        <f t="array" ref="I94">_xlfn.IFS(H94&lt;5000000, "Bronze",H94&lt;10000000, "Silver",H94&lt;20000000, "Gold", H94&gt;=20000000, "Diamond")</f>
        <v>Diamond</v>
      </c>
    </row>
    <row r="95" spans="1:9" x14ac:dyDescent="0.3">
      <c r="A95" s="16" t="s">
        <v>14</v>
      </c>
      <c r="B95">
        <v>19</v>
      </c>
      <c r="C95" s="14">
        <v>45660</v>
      </c>
      <c r="D95" s="14">
        <v>45932</v>
      </c>
      <c r="E95">
        <f t="shared" ca="1" si="2"/>
        <v>1</v>
      </c>
      <c r="F95">
        <f t="shared" si="3"/>
        <v>2.1111111111111112</v>
      </c>
      <c r="G95" t="str" cm="1">
        <f t="array" aca="1" ref="G95" ca="1">IFERROR(_xlfn.IFS(B95/(MAX(1, 12*(YEAR(D95)-YEAR(C95)) + (MONTH(D95)-MONTH(C95)))) &gt;= 2, "Loyal",D95 &gt;= EDATE(TODAY(), -3), "Aktif",TRUE, "Pasif"),"Pasif")</f>
        <v>Loyal</v>
      </c>
      <c r="H95" s="10">
        <v>73750000</v>
      </c>
      <c r="I95" t="str" cm="1">
        <f t="array" ref="I95">_xlfn.IFS(H95&lt;5000000, "Bronze",H95&lt;10000000, "Silver",H95&lt;20000000, "Gold", H95&gt;=20000000, "Diamond")</f>
        <v>Diamond</v>
      </c>
    </row>
    <row r="96" spans="1:9" x14ac:dyDescent="0.3">
      <c r="A96" s="16" t="s">
        <v>25</v>
      </c>
      <c r="B96">
        <v>8</v>
      </c>
      <c r="C96" s="14">
        <v>45675</v>
      </c>
      <c r="D96" s="14">
        <v>45926</v>
      </c>
      <c r="E96">
        <f t="shared" ca="1" si="2"/>
        <v>2</v>
      </c>
      <c r="F96">
        <f t="shared" si="3"/>
        <v>1</v>
      </c>
      <c r="G96" t="str" cm="1">
        <f t="array" aca="1" ref="G96" ca="1">IFERROR(_xlfn.IFS(B96/(MAX(1, 12*(YEAR(D96)-YEAR(C96)) + (MONTH(D96)-MONTH(C96)))) &gt;= 2, "Loyal",D96 &gt;= EDATE(TODAY(), -3), "Aktif",TRUE, "Pasif"),"Pasif")</f>
        <v>Aktif</v>
      </c>
      <c r="H96" s="10">
        <v>41700000</v>
      </c>
      <c r="I96" t="str" cm="1">
        <f t="array" ref="I96">_xlfn.IFS(H96&lt;5000000, "Bronze",H96&lt;10000000, "Silver",H96&lt;20000000, "Gold", H96&gt;=20000000, "Diamond")</f>
        <v>Diamond</v>
      </c>
    </row>
    <row r="97" spans="1:9" x14ac:dyDescent="0.3">
      <c r="A97" s="16" t="s">
        <v>91</v>
      </c>
      <c r="B97">
        <v>10</v>
      </c>
      <c r="C97" s="14">
        <v>45678</v>
      </c>
      <c r="D97" s="14">
        <v>45930</v>
      </c>
      <c r="E97">
        <f t="shared" ca="1" si="2"/>
        <v>2</v>
      </c>
      <c r="F97">
        <f t="shared" si="3"/>
        <v>1.25</v>
      </c>
      <c r="G97" t="str" cm="1">
        <f t="array" aca="1" ref="G97" ca="1">IFERROR(_xlfn.IFS(B97/(MAX(1, 12*(YEAR(D97)-YEAR(C97)) + (MONTH(D97)-MONTH(C97)))) &gt;= 2, "Loyal",D97 &gt;= EDATE(TODAY(), -3), "Aktif",TRUE, "Pasif"),"Pasif")</f>
        <v>Aktif</v>
      </c>
      <c r="H97" s="10">
        <v>40950000</v>
      </c>
      <c r="I97" t="str" cm="1">
        <f t="array" ref="I97">_xlfn.IFS(H97&lt;5000000, "Bronze",H97&lt;10000000, "Silver",H97&lt;20000000, "Gold", H97&gt;=20000000, "Diamond")</f>
        <v>Diamond</v>
      </c>
    </row>
    <row r="98" spans="1:9" x14ac:dyDescent="0.3">
      <c r="A98" s="16" t="s">
        <v>92</v>
      </c>
      <c r="B98">
        <v>10</v>
      </c>
      <c r="C98" s="14">
        <v>45671</v>
      </c>
      <c r="D98" s="14">
        <v>45911</v>
      </c>
      <c r="E98">
        <f t="shared" ca="1" si="2"/>
        <v>2</v>
      </c>
      <c r="F98">
        <f t="shared" si="3"/>
        <v>1.25</v>
      </c>
      <c r="G98" t="str" cm="1">
        <f t="array" aca="1" ref="G98" ca="1">IFERROR(_xlfn.IFS(B98/(MAX(1, 12*(YEAR(D98)-YEAR(C98)) + (MONTH(D98)-MONTH(C98)))) &gt;= 2, "Loyal",D98 &gt;= EDATE(TODAY(), -3), "Aktif",TRUE, "Pasif"),"Pasif")</f>
        <v>Aktif</v>
      </c>
      <c r="H98" s="10">
        <v>55700000</v>
      </c>
      <c r="I98" t="str" cm="1">
        <f t="array" ref="I98">_xlfn.IFS(H98&lt;5000000, "Bronze",H98&lt;10000000, "Silver",H98&lt;20000000, "Gold", H98&gt;=20000000, "Diamond")</f>
        <v>Diamond</v>
      </c>
    </row>
    <row r="99" spans="1:9" x14ac:dyDescent="0.3">
      <c r="A99" s="16" t="s">
        <v>89</v>
      </c>
      <c r="B99">
        <v>7</v>
      </c>
      <c r="C99" s="14">
        <v>45735</v>
      </c>
      <c r="D99" s="14">
        <v>45923</v>
      </c>
      <c r="E99">
        <f t="shared" ca="1" si="2"/>
        <v>2</v>
      </c>
      <c r="F99">
        <f t="shared" si="3"/>
        <v>1.1666666666666667</v>
      </c>
      <c r="G99" t="str" cm="1">
        <f t="array" aca="1" ref="G99" ca="1">IFERROR(_xlfn.IFS(B99/(MAX(1, 12*(YEAR(D99)-YEAR(C99)) + (MONTH(D99)-MONTH(C99)))) &gt;= 2, "Loyal",D99 &gt;= EDATE(TODAY(), -3), "Aktif",TRUE, "Pasif"),"Pasif")</f>
        <v>Aktif</v>
      </c>
      <c r="H99" s="10">
        <v>28500000</v>
      </c>
      <c r="I99" t="str" cm="1">
        <f t="array" ref="I99">_xlfn.IFS(H99&lt;5000000, "Bronze",H99&lt;10000000, "Silver",H99&lt;20000000, "Gold", H99&gt;=20000000, "Diamond")</f>
        <v>Diamond</v>
      </c>
    </row>
    <row r="100" spans="1:9" x14ac:dyDescent="0.3">
      <c r="A100" s="16" t="s">
        <v>64</v>
      </c>
      <c r="B100">
        <v>12</v>
      </c>
      <c r="C100" s="14">
        <v>45676</v>
      </c>
      <c r="D100" s="14">
        <v>45921</v>
      </c>
      <c r="E100">
        <f t="shared" ca="1" si="2"/>
        <v>2</v>
      </c>
      <c r="F100">
        <f t="shared" si="3"/>
        <v>1.5</v>
      </c>
      <c r="G100" t="str" cm="1">
        <f t="array" aca="1" ref="G100" ca="1">IFERROR(_xlfn.IFS(B100/(MAX(1, 12*(YEAR(D100)-YEAR(C100)) + (MONTH(D100)-MONTH(C100)))) &gt;= 2, "Loyal",D100 &gt;= EDATE(TODAY(), -3), "Aktif",TRUE, "Pasif"),"Pasif")</f>
        <v>Aktif</v>
      </c>
      <c r="H100" s="10">
        <v>27750000</v>
      </c>
      <c r="I100" t="str" cm="1">
        <f t="array" ref="I100">_xlfn.IFS(H100&lt;5000000, "Bronze",H100&lt;10000000, "Silver",H100&lt;20000000, "Gold", H100&gt;=20000000, "Diamond")</f>
        <v>Diamond</v>
      </c>
    </row>
    <row r="101" spans="1:9" x14ac:dyDescent="0.3">
      <c r="A101" s="16" t="s">
        <v>51</v>
      </c>
      <c r="B101">
        <v>10</v>
      </c>
      <c r="C101" s="14">
        <v>45660</v>
      </c>
      <c r="D101" s="14">
        <v>45915</v>
      </c>
      <c r="E101">
        <f t="shared" ca="1" si="2"/>
        <v>2</v>
      </c>
      <c r="F101">
        <f t="shared" si="3"/>
        <v>1.25</v>
      </c>
      <c r="G101" t="str" cm="1">
        <f t="array" aca="1" ref="G101" ca="1">IFERROR(_xlfn.IFS(B101/(MAX(1, 12*(YEAR(D101)-YEAR(C101)) + (MONTH(D101)-MONTH(C101)))) &gt;= 2, "Loyal",D101 &gt;= EDATE(TODAY(), -3), "Aktif",TRUE, "Pasif"),"Pasif")</f>
        <v>Aktif</v>
      </c>
      <c r="H101" s="10">
        <v>46450000</v>
      </c>
      <c r="I101" t="str" cm="1">
        <f t="array" ref="I101">_xlfn.IFS(H101&lt;5000000, "Bronze",H101&lt;10000000, "Silver",H101&lt;20000000, "Gold", H101&gt;=20000000, "Diamond")</f>
        <v>Diamond</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A74D1-9815-49B9-ADC9-7F6E0774A827}">
  <dimension ref="A3:B8"/>
  <sheetViews>
    <sheetView workbookViewId="0">
      <selection activeCell="A3" sqref="A3"/>
    </sheetView>
  </sheetViews>
  <sheetFormatPr defaultRowHeight="14.4" x14ac:dyDescent="0.3"/>
  <cols>
    <col min="1" max="1" width="16.21875" bestFit="1" customWidth="1"/>
    <col min="2" max="3" width="23.88671875" bestFit="1" customWidth="1"/>
    <col min="4" max="4" width="17.44140625" bestFit="1" customWidth="1"/>
    <col min="5" max="5" width="16.33203125" bestFit="1" customWidth="1"/>
    <col min="6" max="6" width="19" bestFit="1" customWidth="1"/>
  </cols>
  <sheetData>
    <row r="3" spans="1:2" x14ac:dyDescent="0.3">
      <c r="A3" s="6" t="s">
        <v>317</v>
      </c>
      <c r="B3" t="s">
        <v>319</v>
      </c>
    </row>
    <row r="4" spans="1:2" x14ac:dyDescent="0.3">
      <c r="A4" s="7" t="s">
        <v>316</v>
      </c>
      <c r="B4">
        <v>1</v>
      </c>
    </row>
    <row r="5" spans="1:2" x14ac:dyDescent="0.3">
      <c r="A5" s="7" t="s">
        <v>313</v>
      </c>
      <c r="B5">
        <v>85</v>
      </c>
    </row>
    <row r="6" spans="1:2" x14ac:dyDescent="0.3">
      <c r="A6" s="7" t="s">
        <v>315</v>
      </c>
      <c r="B6">
        <v>9</v>
      </c>
    </row>
    <row r="7" spans="1:2" x14ac:dyDescent="0.3">
      <c r="A7" s="7" t="s">
        <v>314</v>
      </c>
      <c r="B7">
        <v>5</v>
      </c>
    </row>
    <row r="8" spans="1:2" x14ac:dyDescent="0.3">
      <c r="A8" s="7" t="s">
        <v>306</v>
      </c>
      <c r="B8">
        <v>100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7F0FA-ED9C-4E41-9DBC-30B5837C5330}">
  <dimension ref="A3:B7"/>
  <sheetViews>
    <sheetView workbookViewId="0">
      <selection activeCell="F26" sqref="F26"/>
    </sheetView>
  </sheetViews>
  <sheetFormatPr defaultRowHeight="14.4" x14ac:dyDescent="0.3"/>
  <cols>
    <col min="1" max="1" width="16.21875" bestFit="1" customWidth="1"/>
    <col min="2" max="2" width="23.88671875" bestFit="1" customWidth="1"/>
    <col min="3" max="3" width="5.44140625" bestFit="1" customWidth="1"/>
    <col min="4" max="4" width="5" bestFit="1" customWidth="1"/>
    <col min="5" max="5" width="16.21875" bestFit="1" customWidth="1"/>
    <col min="6" max="6" width="15.6640625" bestFit="1" customWidth="1"/>
    <col min="7" max="7" width="17.5546875" bestFit="1" customWidth="1"/>
    <col min="8" max="8" width="13.5546875" bestFit="1" customWidth="1"/>
    <col min="9" max="9" width="17.77734375" bestFit="1" customWidth="1"/>
    <col min="10" max="10" width="23.5546875" bestFit="1" customWidth="1"/>
    <col min="11" max="11" width="12.33203125" bestFit="1" customWidth="1"/>
    <col min="12" max="12" width="18.33203125" bestFit="1" customWidth="1"/>
    <col min="13" max="13" width="15.88671875" bestFit="1" customWidth="1"/>
    <col min="14" max="14" width="16.77734375" bestFit="1" customWidth="1"/>
    <col min="15" max="15" width="13.77734375" bestFit="1" customWidth="1"/>
    <col min="16" max="16" width="20.44140625" bestFit="1" customWidth="1"/>
    <col min="17" max="17" width="21" bestFit="1" customWidth="1"/>
    <col min="18" max="18" width="16.6640625" bestFit="1" customWidth="1"/>
    <col min="19" max="19" width="18.5546875" bestFit="1" customWidth="1"/>
    <col min="20" max="20" width="27.88671875" bestFit="1" customWidth="1"/>
    <col min="21" max="21" width="19.77734375" bestFit="1" customWidth="1"/>
    <col min="22" max="22" width="16.33203125" bestFit="1" customWidth="1"/>
    <col min="23" max="23" width="25.6640625" bestFit="1" customWidth="1"/>
    <col min="24" max="24" width="12" bestFit="1" customWidth="1"/>
    <col min="25" max="25" width="12.44140625" bestFit="1" customWidth="1"/>
    <col min="26" max="26" width="11.6640625" bestFit="1" customWidth="1"/>
    <col min="27" max="27" width="10.5546875" bestFit="1" customWidth="1"/>
    <col min="28" max="28" width="13.6640625" bestFit="1" customWidth="1"/>
    <col min="29" max="29" width="15.21875" bestFit="1" customWidth="1"/>
    <col min="30" max="30" width="18" bestFit="1" customWidth="1"/>
    <col min="31" max="31" width="12.77734375" bestFit="1" customWidth="1"/>
    <col min="32" max="32" width="15.109375" bestFit="1" customWidth="1"/>
    <col min="33" max="33" width="17.5546875" bestFit="1" customWidth="1"/>
    <col min="34" max="34" width="19.77734375" bestFit="1" customWidth="1"/>
    <col min="35" max="35" width="18.88671875" bestFit="1" customWidth="1"/>
    <col min="36" max="36" width="14.5546875" bestFit="1" customWidth="1"/>
    <col min="37" max="37" width="18.33203125" bestFit="1" customWidth="1"/>
    <col min="38" max="38" width="22.5546875" bestFit="1" customWidth="1"/>
    <col min="39" max="39" width="18.6640625" bestFit="1" customWidth="1"/>
    <col min="40" max="40" width="23.5546875" bestFit="1" customWidth="1"/>
    <col min="41" max="41" width="26.6640625" bestFit="1" customWidth="1"/>
    <col min="42" max="42" width="23.77734375" bestFit="1" customWidth="1"/>
    <col min="43" max="43" width="12.6640625" bestFit="1" customWidth="1"/>
    <col min="44" max="44" width="10.5546875" bestFit="1" customWidth="1"/>
    <col min="45" max="45" width="18.33203125" bestFit="1" customWidth="1"/>
    <col min="46" max="46" width="9.44140625" bestFit="1" customWidth="1"/>
    <col min="47" max="47" width="10.88671875" bestFit="1" customWidth="1"/>
    <col min="48" max="48" width="12.88671875" bestFit="1" customWidth="1"/>
    <col min="49" max="49" width="12.77734375" bestFit="1" customWidth="1"/>
    <col min="50" max="50" width="13.77734375" bestFit="1" customWidth="1"/>
    <col min="51" max="51" width="13.5546875" bestFit="1" customWidth="1"/>
    <col min="52" max="52" width="14" bestFit="1" customWidth="1"/>
    <col min="53" max="53" width="12" bestFit="1" customWidth="1"/>
    <col min="54" max="54" width="17" bestFit="1" customWidth="1"/>
    <col min="55" max="55" width="14.44140625" bestFit="1" customWidth="1"/>
    <col min="56" max="56" width="13.5546875" bestFit="1" customWidth="1"/>
    <col min="57" max="57" width="13.33203125" bestFit="1" customWidth="1"/>
    <col min="58" max="58" width="14.21875" bestFit="1" customWidth="1"/>
    <col min="59" max="59" width="14.33203125" bestFit="1" customWidth="1"/>
    <col min="60" max="60" width="13.44140625" bestFit="1" customWidth="1"/>
    <col min="61" max="61" width="13.77734375" bestFit="1" customWidth="1"/>
    <col min="62" max="62" width="15.88671875" bestFit="1" customWidth="1"/>
    <col min="63" max="63" width="18.44140625" bestFit="1" customWidth="1"/>
    <col min="64" max="64" width="16.109375" bestFit="1" customWidth="1"/>
    <col min="65" max="65" width="12.109375" bestFit="1" customWidth="1"/>
    <col min="66" max="66" width="22.6640625" bestFit="1" customWidth="1"/>
    <col min="67" max="67" width="19.109375" bestFit="1" customWidth="1"/>
    <col min="68" max="68" width="19.88671875" bestFit="1" customWidth="1"/>
    <col min="69" max="69" width="19.77734375" bestFit="1" customWidth="1"/>
    <col min="70" max="70" width="22.5546875" bestFit="1" customWidth="1"/>
    <col min="71" max="71" width="16.88671875" bestFit="1" customWidth="1"/>
    <col min="72" max="72" width="22.44140625" bestFit="1" customWidth="1"/>
    <col min="73" max="73" width="14.44140625" bestFit="1" customWidth="1"/>
    <col min="74" max="74" width="22.6640625" bestFit="1" customWidth="1"/>
    <col min="75" max="75" width="14" bestFit="1" customWidth="1"/>
    <col min="76" max="76" width="11.5546875" bestFit="1" customWidth="1"/>
    <col min="77" max="77" width="18.33203125" bestFit="1" customWidth="1"/>
    <col min="78" max="78" width="12.33203125" bestFit="1" customWidth="1"/>
    <col min="79" max="79" width="10.6640625" bestFit="1" customWidth="1"/>
    <col min="80" max="80" width="24.109375" bestFit="1" customWidth="1"/>
    <col min="81" max="81" width="25.44140625" bestFit="1" customWidth="1"/>
    <col min="82" max="82" width="18.5546875" bestFit="1" customWidth="1"/>
    <col min="83" max="83" width="12.33203125" bestFit="1" customWidth="1"/>
    <col min="84" max="84" width="17" bestFit="1" customWidth="1"/>
    <col min="85" max="85" width="22.5546875" bestFit="1" customWidth="1"/>
    <col min="86" max="86" width="24.88671875" bestFit="1" customWidth="1"/>
    <col min="87" max="87" width="17.88671875" bestFit="1" customWidth="1"/>
    <col min="88" max="88" width="15.109375" bestFit="1" customWidth="1"/>
    <col min="89" max="89" width="13.44140625" bestFit="1" customWidth="1"/>
    <col min="90" max="90" width="13.88671875" bestFit="1" customWidth="1"/>
    <col min="91" max="92" width="12.44140625" bestFit="1" customWidth="1"/>
    <col min="93" max="93" width="12.88671875" bestFit="1" customWidth="1"/>
    <col min="94" max="94" width="14.109375" bestFit="1" customWidth="1"/>
    <col min="95" max="95" width="14.5546875" bestFit="1" customWidth="1"/>
    <col min="96" max="96" width="13.88671875" bestFit="1" customWidth="1"/>
    <col min="97" max="97" width="11.109375" bestFit="1" customWidth="1"/>
    <col min="98" max="98" width="12.6640625" bestFit="1" customWidth="1"/>
    <col min="99" max="99" width="14.77734375" bestFit="1" customWidth="1"/>
    <col min="100" max="100" width="19.21875" bestFit="1" customWidth="1"/>
    <col min="101" max="101" width="10.88671875" bestFit="1" customWidth="1"/>
    <col min="102" max="102" width="16.21875" bestFit="1" customWidth="1"/>
  </cols>
  <sheetData>
    <row r="3" spans="1:2" x14ac:dyDescent="0.3">
      <c r="A3" s="6" t="s">
        <v>305</v>
      </c>
      <c r="B3" t="s">
        <v>319</v>
      </c>
    </row>
    <row r="4" spans="1:2" x14ac:dyDescent="0.3">
      <c r="A4" s="7" t="s">
        <v>320</v>
      </c>
      <c r="B4">
        <v>74</v>
      </c>
    </row>
    <row r="5" spans="1:2" x14ac:dyDescent="0.3">
      <c r="A5" s="7" t="s">
        <v>321</v>
      </c>
      <c r="B5">
        <v>13</v>
      </c>
    </row>
    <row r="6" spans="1:2" x14ac:dyDescent="0.3">
      <c r="A6" s="7" t="s">
        <v>322</v>
      </c>
      <c r="B6">
        <v>13</v>
      </c>
    </row>
    <row r="7" spans="1:2" x14ac:dyDescent="0.3">
      <c r="A7" s="7" t="s">
        <v>306</v>
      </c>
      <c r="B7">
        <v>100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0B865-110B-40CB-9813-4E4EDDA85B27}">
  <dimension ref="A1"/>
  <sheetViews>
    <sheetView tabSelected="1" zoomScale="69" zoomScaleNormal="82" workbookViewId="0">
      <selection activeCell="Z27" sqref="Z2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5</vt:i4>
      </vt:variant>
    </vt:vector>
  </HeadingPairs>
  <TitlesOfParts>
    <vt:vector size="5" baseType="lpstr">
      <vt:lpstr>Data</vt:lpstr>
      <vt:lpstr>Buat Pivot</vt:lpstr>
      <vt:lpstr> Kelompok Total Nominal</vt:lpstr>
      <vt:lpstr>Kelompok Total Frekuensi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Azmi Taqiyudin</dc:creator>
  <cp:lastModifiedBy>Azmi Taqiyudin</cp:lastModifiedBy>
  <dcterms:created xsi:type="dcterms:W3CDTF">2025-10-04T04:19:20Z</dcterms:created>
  <dcterms:modified xsi:type="dcterms:W3CDTF">2025-11-20T10:00:14Z</dcterms:modified>
</cp:coreProperties>
</file>